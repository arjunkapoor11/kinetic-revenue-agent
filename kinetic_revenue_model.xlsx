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sheets/sheet13.xml" ContentType="application/vnd.openxmlformats-officedocument.spreadsheetml.worksheet+xml"/>
  <Override PartName="/xl/comments/comment12.xml" ContentType="application/vnd.openxmlformats-officedocument.spreadsheetml.comments+xml"/>
  <Override PartName="/xl/worksheets/sheet14.xml" ContentType="application/vnd.openxmlformats-officedocument.spreadsheetml.worksheet+xml"/>
  <Override PartName="/xl/comments/comment13.xml" ContentType="application/vnd.openxmlformats-officedocument.spreadsheetml.comments+xml"/>
  <Override PartName="/xl/worksheets/sheet15.xml" ContentType="application/vnd.openxmlformats-officedocument.spreadsheetml.worksheet+xml"/>
  <Override PartName="/xl/comments/comment14.xml" ContentType="application/vnd.openxmlformats-officedocument.spreadsheetml.comments+xml"/>
  <Override PartName="/xl/worksheets/sheet16.xml" ContentType="application/vnd.openxmlformats-officedocument.spreadsheetml.worksheet+xml"/>
  <Override PartName="/xl/comments/comment15.xml" ContentType="application/vnd.openxmlformats-officedocument.spreadsheetml.comments+xml"/>
  <Override PartName="/xl/worksheets/sheet17.xml" ContentType="application/vnd.openxmlformats-officedocument.spreadsheetml.worksheet+xml"/>
  <Override PartName="/xl/comments/comment16.xml" ContentType="application/vnd.openxmlformats-officedocument.spreadsheetml.comments+xml"/>
  <Override PartName="/xl/worksheets/sheet18.xml" ContentType="application/vnd.openxmlformats-officedocument.spreadsheetml.worksheet+xml"/>
  <Override PartName="/xl/comments/comment17.xml" ContentType="application/vnd.openxmlformats-officedocument.spreadsheetml.comments+xml"/>
  <Override PartName="/xl/worksheets/sheet19.xml" ContentType="application/vnd.openxmlformats-officedocument.spreadsheetml.worksheet+xml"/>
  <Override PartName="/xl/comments/comment18.xml" ContentType="application/vnd.openxmlformats-officedocument.spreadsheetml.comments+xml"/>
  <Override PartName="/xl/worksheets/sheet20.xml" ContentType="application/vnd.openxmlformats-officedocument.spreadsheetml.worksheet+xml"/>
  <Override PartName="/xl/comments/comment19.xml" ContentType="application/vnd.openxmlformats-officedocument.spreadsheetml.comments+xml"/>
  <Override PartName="/xl/worksheets/sheet21.xml" ContentType="application/vnd.openxmlformats-officedocument.spreadsheetml.worksheet+xml"/>
  <Override PartName="/xl/comments/comment20.xml" ContentType="application/vnd.openxmlformats-officedocument.spreadsheetml.comments+xml"/>
  <Override PartName="/xl/worksheets/sheet22.xml" ContentType="application/vnd.openxmlformats-officedocument.spreadsheetml.worksheet+xml"/>
  <Override PartName="/xl/comments/comment21.xml" ContentType="application/vnd.openxmlformats-officedocument.spreadsheetml.comments+xml"/>
  <Override PartName="/xl/worksheets/sheet23.xml" ContentType="application/vnd.openxmlformats-officedocument.spreadsheetml.worksheet+xml"/>
  <Override PartName="/xl/comments/comment22.xml" ContentType="application/vnd.openxmlformats-officedocument.spreadsheetml.comments+xml"/>
  <Override PartName="/xl/worksheets/sheet24.xml" ContentType="application/vnd.openxmlformats-officedocument.spreadsheetml.worksheet+xml"/>
  <Override PartName="/xl/comments/comment23.xml" ContentType="application/vnd.openxmlformats-officedocument.spreadsheetml.comments+xml"/>
  <Override PartName="/xl/worksheets/sheet25.xml" ContentType="application/vnd.openxmlformats-officedocument.spreadsheetml.worksheet+xml"/>
  <Override PartName="/xl/comments/comment24.xml" ContentType="application/vnd.openxmlformats-officedocument.spreadsheetml.comments+xml"/>
  <Override PartName="/xl/worksheets/sheet26.xml" ContentType="application/vnd.openxmlformats-officedocument.spreadsheetml.worksheet+xml"/>
  <Override PartName="/xl/comments/comment25.xml" ContentType="application/vnd.openxmlformats-officedocument.spreadsheetml.comments+xml"/>
  <Override PartName="/xl/worksheets/sheet27.xml" ContentType="application/vnd.openxmlformats-officedocument.spreadsheetml.worksheet+xml"/>
  <Override PartName="/xl/comments/comment26.xml" ContentType="application/vnd.openxmlformats-officedocument.spreadsheetml.comments+xml"/>
  <Override PartName="/xl/worksheets/sheet28.xml" ContentType="application/vnd.openxmlformats-officedocument.spreadsheetml.worksheet+xml"/>
  <Override PartName="/xl/comments/comment27.xml" ContentType="application/vnd.openxmlformats-officedocument.spreadsheetml.comments+xml"/>
  <Override PartName="/xl/worksheets/sheet29.xml" ContentType="application/vnd.openxmlformats-officedocument.spreadsheetml.worksheet+xml"/>
  <Override PartName="/xl/comments/comment28.xml" ContentType="application/vnd.openxmlformats-officedocument.spreadsheetml.comments+xml"/>
  <Override PartName="/xl/worksheets/sheet30.xml" ContentType="application/vnd.openxmlformats-officedocument.spreadsheetml.worksheet+xml"/>
  <Override PartName="/xl/comments/comment29.xml" ContentType="application/vnd.openxmlformats-officedocument.spreadsheetml.comments+xml"/>
  <Override PartName="/xl/worksheets/sheet31.xml" ContentType="application/vnd.openxmlformats-officedocument.spreadsheetml.worksheet+xml"/>
  <Override PartName="/xl/comments/comment30.xml" ContentType="application/vnd.openxmlformats-officedocument.spreadsheetml.comments+xml"/>
  <Override PartName="/xl/worksheets/sheet32.xml" ContentType="application/vnd.openxmlformats-officedocument.spreadsheetml.worksheet+xml"/>
  <Override PartName="/xl/comments/comment31.xml" ContentType="application/vnd.openxmlformats-officedocument.spreadsheetml.comments+xml"/>
  <Override PartName="/xl/worksheets/sheet33.xml" ContentType="application/vnd.openxmlformats-officedocument.spreadsheetml.worksheet+xml"/>
  <Override PartName="/xl/comments/comment32.xml" ContentType="application/vnd.openxmlformats-officedocument.spreadsheetml.comments+xml"/>
  <Override PartName="/xl/worksheets/sheet34.xml" ContentType="application/vnd.openxmlformats-officedocument.spreadsheetml.worksheet+xml"/>
  <Override PartName="/xl/comments/comment33.xml" ContentType="application/vnd.openxmlformats-officedocument.spreadsheetml.comments+xml"/>
  <Override PartName="/xl/worksheets/sheet35.xml" ContentType="application/vnd.openxmlformats-officedocument.spreadsheetml.worksheet+xml"/>
  <Override PartName="/xl/comments/comment34.xml" ContentType="application/vnd.openxmlformats-officedocument.spreadsheetml.comments+xml"/>
  <Override PartName="/xl/worksheets/sheet36.xml" ContentType="application/vnd.openxmlformats-officedocument.spreadsheetml.worksheet+xml"/>
  <Override PartName="/xl/comments/comment35.xml" ContentType="application/vnd.openxmlformats-officedocument.spreadsheetml.comments+xml"/>
  <Override PartName="/xl/worksheets/sheet37.xml" ContentType="application/vnd.openxmlformats-officedocument.spreadsheetml.worksheet+xml"/>
  <Override PartName="/xl/comments/comment36.xml" ContentType="application/vnd.openxmlformats-officedocument.spreadsheetml.comments+xml"/>
  <Override PartName="/xl/worksheets/sheet38.xml" ContentType="application/vnd.openxmlformats-officedocument.spreadsheetml.worksheet+xml"/>
  <Override PartName="/xl/comments/comment37.xml" ContentType="application/vnd.openxmlformats-officedocument.spreadsheetml.comments+xml"/>
  <Override PartName="/xl/worksheets/sheet39.xml" ContentType="application/vnd.openxmlformats-officedocument.spreadsheetml.worksheet+xml"/>
  <Override PartName="/xl/comments/comment38.xml" ContentType="application/vnd.openxmlformats-officedocument.spreadsheetml.comments+xml"/>
  <Override PartName="/xl/worksheets/sheet40.xml" ContentType="application/vnd.openxmlformats-officedocument.spreadsheetml.worksheet+xml"/>
  <Override PartName="/xl/comments/comment39.xml" ContentType="application/vnd.openxmlformats-officedocument.spreadsheetml.comments+xml"/>
  <Override PartName="/xl/worksheets/sheet41.xml" ContentType="application/vnd.openxmlformats-officedocument.spreadsheetml.worksheet+xml"/>
  <Override PartName="/xl/comments/comment40.xml" ContentType="application/vnd.openxmlformats-officedocument.spreadsheetml.comments+xml"/>
  <Override PartName="/xl/worksheets/sheet42.xml" ContentType="application/vnd.openxmlformats-officedocument.spreadsheetml.worksheet+xml"/>
  <Override PartName="/xl/comments/comment41.xml" ContentType="application/vnd.openxmlformats-officedocument.spreadsheetml.comments+xml"/>
  <Override PartName="/xl/worksheets/sheet43.xml" ContentType="application/vnd.openxmlformats-officedocument.spreadsheetml.worksheet+xml"/>
  <Override PartName="/xl/comments/comment42.xml" ContentType="application/vnd.openxmlformats-officedocument.spreadsheetml.comments+xml"/>
  <Override PartName="/xl/worksheets/sheet44.xml" ContentType="application/vnd.openxmlformats-officedocument.spreadsheetml.worksheet+xml"/>
  <Override PartName="/xl/comments/comment43.xml" ContentType="application/vnd.openxmlformats-officedocument.spreadsheetml.comments+xml"/>
  <Override PartName="/xl/worksheets/sheet45.xml" ContentType="application/vnd.openxmlformats-officedocument.spreadsheetml.worksheet+xml"/>
  <Override PartName="/xl/comments/comment44.xml" ContentType="application/vnd.openxmlformats-officedocument.spreadsheetml.comments+xml"/>
  <Override PartName="/xl/worksheets/sheet46.xml" ContentType="application/vnd.openxmlformats-officedocument.spreadsheetml.worksheet+xml"/>
  <Override PartName="/xl/comments/comment45.xml" ContentType="application/vnd.openxmlformats-officedocument.spreadsheetml.comments+xml"/>
  <Override PartName="/xl/worksheets/sheet47.xml" ContentType="application/vnd.openxmlformats-officedocument.spreadsheetml.worksheet+xml"/>
  <Override PartName="/xl/comments/comment46.xml" ContentType="application/vnd.openxmlformats-officedocument.spreadsheetml.comments+xml"/>
  <Override PartName="/xl/worksheets/sheet48.xml" ContentType="application/vnd.openxmlformats-officedocument.spreadsheetml.worksheet+xml"/>
  <Override PartName="/xl/comments/comment47.xml" ContentType="application/vnd.openxmlformats-officedocument.spreadsheetml.comments+xml"/>
  <Override PartName="/xl/worksheets/sheet49.xml" ContentType="application/vnd.openxmlformats-officedocument.spreadsheetml.worksheet+xml"/>
  <Override PartName="/xl/comments/comment4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NOW" sheetId="2" state="visible" r:id="rId2"/>
    <sheet name="DDOG" sheetId="3" state="visible" r:id="rId3"/>
    <sheet name="MDB" sheetId="4" state="visible" r:id="rId4"/>
    <sheet name="TENB" sheetId="5" state="visible" r:id="rId5"/>
    <sheet name="QLYS" sheetId="6" state="visible" r:id="rId6"/>
    <sheet name="NOW" sheetId="7" state="visible" r:id="rId7"/>
    <sheet name="ADBE" sheetId="8" state="visible" r:id="rId8"/>
    <sheet name="INTU" sheetId="9" state="visible" r:id="rId9"/>
    <sheet name="WDAY" sheetId="10" state="visible" r:id="rId10"/>
    <sheet name="PANW" sheetId="11" state="visible" r:id="rId11"/>
    <sheet name="CDNS" sheetId="12" state="visible" r:id="rId12"/>
    <sheet name="SNPS" sheetId="13" state="visible" r:id="rId13"/>
    <sheet name="ADSK" sheetId="14" state="visible" r:id="rId14"/>
    <sheet name="APP" sheetId="15" state="visible" r:id="rId15"/>
    <sheet name="FTNT" sheetId="16" state="visible" r:id="rId16"/>
    <sheet name="TEAM" sheetId="17" state="visible" r:id="rId17"/>
    <sheet name="VEEV" sheetId="18" state="visible" r:id="rId18"/>
    <sheet name="ROP" sheetId="19" state="visible" r:id="rId19"/>
    <sheet name="PLTR" sheetId="20" state="visible" r:id="rId20"/>
    <sheet name="HUBS" sheetId="21" state="visible" r:id="rId21"/>
    <sheet name="ZS" sheetId="22" state="visible" r:id="rId22"/>
    <sheet name="CRWD" sheetId="23" state="visible" r:id="rId23"/>
    <sheet name="OKTA" sheetId="24" state="visible" r:id="rId24"/>
    <sheet name="TTD" sheetId="25" state="visible" r:id="rId25"/>
    <sheet name="GTLB" sheetId="26" state="visible" r:id="rId26"/>
    <sheet name="BILL" sheetId="27" state="visible" r:id="rId27"/>
    <sheet name="MNDY" sheetId="28" state="visible" r:id="rId28"/>
    <sheet name="CFLT" sheetId="29" state="visible" r:id="rId29"/>
    <sheet name="ESTC" sheetId="30" state="visible" r:id="rId30"/>
    <sheet name="FROG" sheetId="31" state="visible" r:id="rId31"/>
    <sheet name="S" sheetId="32" state="visible" r:id="rId32"/>
    <sheet name="ZI" sheetId="33" state="visible" r:id="rId33"/>
    <sheet name="DT" sheetId="34" state="visible" r:id="rId34"/>
    <sheet name="TOST" sheetId="35" state="visible" r:id="rId35"/>
    <sheet name="PCTY" sheetId="36" state="visible" r:id="rId36"/>
    <sheet name="PAYC" sheetId="37" state="visible" r:id="rId37"/>
    <sheet name="GWRE" sheetId="38" state="visible" r:id="rId38"/>
    <sheet name="BSY" sheetId="39" state="visible" r:id="rId39"/>
    <sheet name="CWAN" sheetId="40" state="visible" r:id="rId40"/>
    <sheet name="NCNO" sheetId="41" state="visible" r:id="rId41"/>
    <sheet name="BRZE" sheetId="42" state="visible" r:id="rId42"/>
    <sheet name="KVYO" sheetId="43" state="visible" r:id="rId43"/>
    <sheet name="PCOR" sheetId="44" state="visible" r:id="rId44"/>
    <sheet name="SPSC" sheetId="45" state="visible" r:id="rId45"/>
    <sheet name="MANH" sheetId="46" state="visible" r:id="rId46"/>
    <sheet name="AZPN" sheetId="47" state="visible" r:id="rId47"/>
    <sheet name="APPN" sheetId="48" state="visible" r:id="rId48"/>
    <sheet name="DOCN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_);(0.0%);&quot;-&quot;"/>
    <numFmt numFmtId="165" formatCode="#,##0.0_);(#,##0.0);&quot;-&quot;"/>
  </numFmts>
  <fonts count="11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i val="1"/>
      <sz val="9"/>
    </font>
    <font>
      <name val="Times New Roman"/>
      <b val="1"/>
      <sz val="9"/>
    </font>
    <font>
      <name val="Times New Roman"/>
      <sz val="9"/>
    </font>
    <font>
      <name val="Times New Roman"/>
      <color rgb="000000FF"/>
      <sz val="9"/>
    </font>
    <font>
      <name val="Times New Roman"/>
      <color rgb="00006100"/>
      <sz val="9"/>
    </font>
    <font>
      <name val="Times New Roman"/>
      <color rgb="009C0006"/>
      <sz val="9"/>
    </font>
    <font>
      <name val="Times New Roman"/>
      <i val="1"/>
      <color rgb="000000FF"/>
      <sz val="9"/>
    </font>
    <font>
      <name val="Times New Roman"/>
      <i val="1"/>
      <color rgb="00006100"/>
      <sz val="9"/>
    </font>
    <font>
      <name val="Times New Roman"/>
      <i val="1"/>
      <color rgb="009C0006"/>
      <sz val="9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/>
      <bottom/>
    </border>
    <border>
      <left style="thin"/>
      <right/>
      <top/>
      <bottom/>
    </border>
    <border>
      <left style="thin"/>
      <right style="thin"/>
      <top/>
      <bottom/>
    </border>
    <border>
      <left style="thin"/>
      <right/>
      <top style="thin"/>
      <bottom/>
    </border>
    <border>
      <left style="thin"/>
      <right style="thin"/>
      <top style="thin"/>
      <bottom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2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4" fillId="0" borderId="0" pivotButton="0" quotePrefix="0" xfId="0"/>
    <xf numFmtId="164" fontId="5" fillId="0" borderId="0" pivotButton="0" quotePrefix="0" xfId="0"/>
    <xf numFmtId="165" fontId="4" fillId="0" borderId="2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3" applyAlignment="1" pivotButton="0" quotePrefix="0" xfId="0">
      <alignment horizontal="right"/>
    </xf>
    <xf numFmtId="164" fontId="2" fillId="0" borderId="0" applyAlignment="1" pivotButton="0" quotePrefix="0" xfId="0">
      <alignment horizontal="right"/>
    </xf>
    <xf numFmtId="0" fontId="6" fillId="0" borderId="0" pivotButton="0" quotePrefix="0" xfId="0"/>
    <xf numFmtId="0" fontId="7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165" fontId="3" fillId="0" borderId="4" applyAlignment="1" pivotButton="0" quotePrefix="0" xfId="0">
      <alignment horizontal="right"/>
    </xf>
    <xf numFmtId="165" fontId="3" fillId="0" borderId="1" applyAlignment="1" pivotButton="0" quotePrefix="0" xfId="0">
      <alignment horizontal="right"/>
    </xf>
    <xf numFmtId="165" fontId="3" fillId="0" borderId="5" applyAlignment="1" pivotButton="0" quotePrefix="0" xfId="0">
      <alignment horizontal="right"/>
    </xf>
    <xf numFmtId="164" fontId="2" fillId="0" borderId="2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0" fillId="0" borderId="4" pivotButton="0" quotePrefix="0" xfId="0"/>
    <xf numFmtId="0" fontId="0" fillId="0" borderId="5" pivotButton="0" quotePrefix="0" xfId="0"/>
    <xf numFmtId="164" fontId="3" fillId="0" borderId="4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164" fontId="3" fillId="0" borderId="5" applyAlignment="1" pivotButton="0" quotePrefix="0" xfId="0">
      <alignment horizontal="right"/>
    </xf>
    <xf numFmtId="165" fontId="2" fillId="0" borderId="2" applyAlignment="1" pivotButton="0" quotePrefix="0" xfId="0">
      <alignment horizontal="right"/>
    </xf>
    <xf numFmtId="165" fontId="2" fillId="0" borderId="0" applyAlignment="1" pivotButton="0" quotePrefix="0" xfId="0">
      <alignment horizontal="right"/>
    </xf>
    <xf numFmtId="165" fontId="2" fillId="0" borderId="3" applyAlignment="1" pivotButton="0" quotePrefix="0" xfId="0">
      <alignment horizontal="right"/>
    </xf>
    <xf numFmtId="10" fontId="5" fillId="0" borderId="0" pivotButton="0" quotePrefix="0" xfId="0"/>
    <xf numFmtId="0" fontId="5" fillId="0" borderId="0" pivotButton="0" quotePrefix="0" xfId="0"/>
    <xf numFmtId="165" fontId="3" fillId="0" borderId="2" applyAlignment="1" pivotButton="0" quotePrefix="0" xfId="0">
      <alignment horizontal="right"/>
    </xf>
    <xf numFmtId="165" fontId="3" fillId="0" borderId="0" applyAlignment="1" pivotButton="0" quotePrefix="0" xfId="0">
      <alignment horizontal="right"/>
    </xf>
    <xf numFmtId="165" fontId="3" fillId="0" borderId="3" applyAlignment="1" pivotButton="0" quotePrefix="0" xfId="0">
      <alignment horizontal="right"/>
    </xf>
    <xf numFmtId="165" fontId="8" fillId="0" borderId="0" applyAlignment="1" pivotButton="0" quotePrefix="0" xfId="0">
      <alignment horizontal="right"/>
    </xf>
    <xf numFmtId="165" fontId="8" fillId="0" borderId="2" applyAlignment="1" pivotButton="0" quotePrefix="0" xfId="0">
      <alignment horizontal="right"/>
    </xf>
    <xf numFmtId="164" fontId="9" fillId="0" borderId="2" applyAlignment="1" pivotButton="0" quotePrefix="0" xfId="0">
      <alignment horizontal="right"/>
    </xf>
    <xf numFmtId="164" fontId="9" fillId="0" borderId="0" applyAlignment="1" pivotButton="0" quotePrefix="0" xfId="0">
      <alignment horizontal="right"/>
    </xf>
    <xf numFmtId="164" fontId="2" fillId="0" borderId="0" pivotButton="0" quotePrefix="0" xfId="0"/>
    <xf numFmtId="164" fontId="8" fillId="0" borderId="0" pivotButton="0" quotePrefix="0" xfId="0"/>
    <xf numFmtId="164" fontId="10" fillId="0" borderId="0" applyAlignment="1" pivotButton="0" quotePrefix="0" xfId="0">
      <alignment horizontal="right"/>
    </xf>
    <xf numFmtId="164" fontId="10" fillId="0" borderId="2" applyAlignment="1" pivotButton="0" quotePrefix="0" xfId="0">
      <alignment horizontal="right"/>
    </xf>
  </cellXfs>
  <cellStyles count="1">
    <cellStyle name="Normal" xfId="0" builtinId="0" hidden="0"/>
  </cellStyles>
  <dxfs count="2">
    <dxf>
      <font>
        <name val="Times New Roman"/>
        <i val="1"/>
        <color rgb="00006100"/>
        <sz val="9"/>
      </font>
    </dxf>
    <dxf>
      <font>
        <name val="Times New Roman"/>
        <i val="1"/>
        <color rgb="009C0006"/>
        <sz val="9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styles" Target="styles.xml" Id="rId50" /><Relationship Type="http://schemas.openxmlformats.org/officeDocument/2006/relationships/theme" Target="theme/theme1.xml" Id="rId51" /></Relationships>
</file>

<file path=xl/comments/comment1.xml><?xml version="1.0" encoding="utf-8"?>
<comments xmlns="http://schemas.openxmlformats.org/spreadsheetml/2006/main">
  <authors>
    <author>KIN Model</author>
  </authors>
  <commentList>
    <comment ref="K9" authorId="0" shapeId="0">
      <text>
        <t># Snowflake (SNOW) Q2 FY2026 Earnings Analysis: Revenue Anomaly Investigation
## Quarter Context
**Reported Period:** Quarter ending July 31, 2025 (labeled Q3 in quantitative system, Q2 FY2026 per company's fiscal calendar)</t>
      </text>
    </comment>
    <comment ref="O9" authorId="0" shapeId="0">
      <text>
        <t>Q+1 Beat-Adjusted:
Consensus: $1,316.2M
x (1 + 3.52%)
= $1,362.6M implied</t>
      </text>
    </comment>
  </commentList>
</comments>
</file>

<file path=xl/comments/comment2.xml><?xml version="1.0" encoding="utf-8"?>
<comments xmlns="http://schemas.openxmlformats.org/spreadsheetml/2006/main">
  <authors>
    <author>KIN Model</author>
  </authors>
  <commentList>
    <comment ref="J9" authorId="0" shapeId="0">
      <text>
        <t xml:space="preserve"># Datadog Q2 2025 Revenue Distortion Analysis
## Identified Factors Explaining the Anomalous QoQ Revenue Growth
</t>
      </text>
    </comment>
    <comment ref="N9" authorId="0" shapeId="0">
      <text>
        <t>Q+1 Beat-Adjusted:
Consensus: $956.0M
x (1 + 3.49%)
= $989.4M implied</t>
      </text>
    </comment>
  </commentList>
</comments>
</file>

<file path=xl/comments/comment3.xml><?xml version="1.0" encoding="utf-8"?>
<comments xmlns="http://schemas.openxmlformats.org/spreadsheetml/2006/main">
  <authors>
    <author>KIN Model</author>
  </authors>
  <commentList>
    <comment ref="N9" authorId="0" shapeId="0">
      <text>
        <t># MongoDB (MDB) Q1 FY2027 Revenue Anomaly Analysis
## Quarter Ended January 31, 2026 | Revenue: $695.1M | QoQ Change: +10.63% (2.25σ above seasonal norm)
---</t>
      </text>
    </comment>
    <comment ref="O9" authorId="0" shapeId="0">
      <text>
        <t>Q+1 Beat-Adjusted:
Consensus: $645.9M
x (1 + 5.05%)
= $678.5M implied</t>
      </text>
    </comment>
  </commentList>
</comments>
</file>

<file path=xl/comments/comment4.xml><?xml version="1.0" encoding="utf-8"?>
<comments xmlns="http://schemas.openxmlformats.org/spreadsheetml/2006/main">
  <authors>
    <author>KIN Model</author>
  </authors>
  <commentList>
    <comment ref="N9" authorId="0" shapeId="0">
      <text>
        <t>Q+1 Beat-Adjusted:
Consensus: $256.2M
x (1 + 1.71%)
= $260.6M implied</t>
      </text>
    </comment>
  </commentList>
</comments>
</file>

<file path=xl/comments/comment5.xml><?xml version="1.0" encoding="utf-8"?>
<comments xmlns="http://schemas.openxmlformats.org/spreadsheetml/2006/main">
  <authors>
    <author>KIN Model</author>
  </authors>
  <commentList>
    <comment ref="N9" authorId="0" shapeId="0">
      <text>
        <t>Q+1 Beat-Adjusted:
Consensus: $172.4M
x (1 + 0.67%)
= $173.5M implied</t>
      </text>
    </comment>
  </commentList>
</comments>
</file>

<file path=xl/comments/comment6.xml><?xml version="1.0" encoding="utf-8"?>
<comments xmlns="http://schemas.openxmlformats.org/spreadsheetml/2006/main">
  <authors>
    <author>KIN Model</author>
  </authors>
  <commentList>
    <comment ref="N9" authorId="0" shapeId="0">
      <text>
        <t>Q+1 Beat-Adjusted:
Consensus: $3,716.9M
x (1 + 1.11%)
= $3,758.2M implied</t>
      </text>
    </comment>
  </commentList>
</comments>
</file>

<file path=xl/comments/comment7.xml><?xml version="1.0" encoding="utf-8"?>
<comments xmlns="http://schemas.openxmlformats.org/spreadsheetml/2006/main">
  <authors>
    <author>KIN Model</author>
  </authors>
  <commentList>
    <comment ref="O9" authorId="0" shapeId="0">
      <text>
        <t>Q+1 Beat-Adjusted:
Consensus: $6,381.1M
x (1 + 1.44%)
= $6,473.0M implied</t>
      </text>
    </comment>
  </commentList>
</comments>
</file>

<file path=xl/comments/comment8.xml><?xml version="1.0" encoding="utf-8"?>
<comments xmlns="http://schemas.openxmlformats.org/spreadsheetml/2006/main">
  <authors>
    <author>KIN Model</author>
  </authors>
  <commentList>
    <comment ref="O9" authorId="0" shapeId="0">
      <text>
        <t>Q+1 Beat-Adjusted:
Consensus: $4,102.5M
x (1 + 2.71%)
= $4,213.7M implied</t>
      </text>
    </comment>
  </commentList>
</comments>
</file>

<file path=xl/comments/comment9.xml><?xml version="1.0" encoding="utf-8"?>
<comments xmlns="http://schemas.openxmlformats.org/spreadsheetml/2006/main">
  <authors>
    <author>KIN Model</author>
  </authors>
  <commentList>
    <comment ref="N9" authorId="0" shapeId="0">
      <text>
        <t xml:space="preserve"># WDAY Q4 FY2026 Earnings Call Analysis: Revenue Anomaly Investigation
## Preliminary Note on Quarter Labeling
</t>
      </text>
    </comment>
    <comment ref="O9" authorId="0" shapeId="0">
      <text>
        <t>Q+1 Beat-Adjusted:
Consensus: $2,499.4M
x (1 + 0.46%)
= $2,510.9M implied</t>
      </text>
    </comment>
  </commentList>
</comments>
</file>

<file path=xl/comments/comment10.xml><?xml version="1.0" encoding="utf-8"?>
<comments xmlns="http://schemas.openxmlformats.org/spreadsheetml/2006/main">
  <authors>
    <author>KIN Model</author>
  </authors>
  <commentList>
    <comment ref="O9" authorId="0" shapeId="0">
      <text>
        <t>Q+1 Beat-Adjusted:
Consensus: $2,944.0M
x (1 + 0.77%)
= $2,966.7M implied</t>
      </text>
    </comment>
  </commentList>
</comments>
</file>

<file path=xl/comments/comment11.xml><?xml version="1.0" encoding="utf-8"?>
<comments xmlns="http://schemas.openxmlformats.org/spreadsheetml/2006/main">
  <authors>
    <author>KIN Model</author>
  </authors>
  <commentList>
    <comment ref="N9" authorId="0" shapeId="0">
      <text>
        <t>Q+1 Beat-Adjusted:
Consensus: $1,413.0M
x (1 + 1.15%)
= $1,429.2M implied</t>
      </text>
    </comment>
  </commentList>
</comments>
</file>

<file path=xl/comments/comment12.xml><?xml version="1.0" encoding="utf-8"?>
<comments xmlns="http://schemas.openxmlformats.org/spreadsheetml/2006/main">
  <authors>
    <author>KIN Model</author>
  </authors>
  <commentList>
    <comment ref="L9" authorId="0" shapeId="0">
      <text>
        <t># SNPS Q4 FY2025 Revenue Anomaly Analysis
## Summary of Anomalous Quarter
- **Revenue**: $2,254,860,000 vs. prior quarter $1,739,737,000</t>
      </text>
    </comment>
    <comment ref="O9" authorId="0" shapeId="0">
      <text>
        <t>Q+1 Beat-Adjusted:
Consensus: $2,091.4M
x (1 + 0.20%)
= $2,095.6M implied</t>
      </text>
    </comment>
  </commentList>
</comments>
</file>

<file path=xl/comments/comment13.xml><?xml version="1.0" encoding="utf-8"?>
<comments xmlns="http://schemas.openxmlformats.org/spreadsheetml/2006/main">
  <authors>
    <author>KIN Model</author>
  </authors>
  <commentList>
    <comment ref="O9" authorId="0" shapeId="0">
      <text>
        <t>Q+1 Beat-Adjusted:
Consensus: $1,847.1M
x (1 + 2.04%)
= $1,884.8M implied</t>
      </text>
    </comment>
  </commentList>
</comments>
</file>

<file path=xl/comments/comment14.xml><?xml version="1.0" encoding="utf-8"?>
<comments xmlns="http://schemas.openxmlformats.org/spreadsheetml/2006/main">
  <authors>
    <author>KIN Model</author>
  </authors>
  <commentList>
    <comment ref="N9" authorId="0" shapeId="0">
      <text>
        <t>Q+1 Beat-Adjusted:
Consensus: $2,177.0M
x (1 + 4.45%)
= $2,273.9M implied</t>
      </text>
    </comment>
  </commentList>
</comments>
</file>

<file path=xl/comments/comment15.xml><?xml version="1.0" encoding="utf-8"?>
<comments xmlns="http://schemas.openxmlformats.org/spreadsheetml/2006/main">
  <authors>
    <author>KIN Model</author>
  </authors>
  <commentList>
    <comment ref="L9" authorId="0" shapeId="0">
      <text>
        <t># FTNT Q4 2025 (Quarter Ended December 31, 2025) — Revenue Anomaly Analysis
## Overview of Anomaly
Revenue of $1.905B represented a 10.44% QoQ increase versus a seasonal average of ~$95.7M, coming in 1.82 standard deviations above norm. This is a meaningful but not extreme deviation, suggesting ...</t>
      </text>
    </comment>
    <comment ref="N9" authorId="0" shapeId="0">
      <text>
        <t>Q+1 Beat-Adjusted:
Consensus: $1,720.3M
x (1 + 1.01%)
= $1,737.7M implied</t>
      </text>
    </comment>
  </commentList>
</comments>
</file>

<file path=xl/comments/comment16.xml><?xml version="1.0" encoding="utf-8"?>
<comments xmlns="http://schemas.openxmlformats.org/spreadsheetml/2006/main">
  <authors>
    <author>KIN Model</author>
  </authors>
  <commentList>
    <comment ref="L9" authorId="0" shapeId="0">
      <text>
        <t># TEAM Q4 2025 (Quarter Ending 2025-12-31) Revenue Anomaly Analysis
## Contextual Note on Transcript Alignment
The transcript covers **Q2 FY2026** (quarter ending December 31, 2025), which corresponds to the flagged period. The 10.73% QoQ growth — 2.15 standard deviations above the seasonal norm...</t>
      </text>
    </comment>
    <comment ref="N9" authorId="0" shapeId="0">
      <text>
        <t>Q+1 Beat-Adjusted:
Consensus: $1,695.8M
x (1 + 1.59%)
= $1,722.8M implied</t>
      </text>
    </comment>
  </commentList>
</comments>
</file>

<file path=xl/comments/comment17.xml><?xml version="1.0" encoding="utf-8"?>
<comments xmlns="http://schemas.openxmlformats.org/spreadsheetml/2006/main">
  <authors>
    <author>KIN Model</author>
  </authors>
  <commentList>
    <comment ref="O9" authorId="0" shapeId="0">
      <text>
        <t>Q+1 Beat-Adjusted:
Consensus: $854.8M
x (1 + 2.81%)
= $878.9M implied</t>
      </text>
    </comment>
  </commentList>
</comments>
</file>

<file path=xl/comments/comment18.xml><?xml version="1.0" encoding="utf-8"?>
<comments xmlns="http://schemas.openxmlformats.org/spreadsheetml/2006/main">
  <authors>
    <author>KIN Model</author>
  </authors>
  <commentList>
    <comment ref="N9" authorId="0" shapeId="0">
      <text>
        <t>Q+1 Beat-Adjusted:
Consensus: $2,028.7M
x (1 + -0.12%)
= $2,026.3M implied</t>
      </text>
    </comment>
  </commentList>
</comments>
</file>

<file path=xl/comments/comment19.xml><?xml version="1.0" encoding="utf-8"?>
<comments xmlns="http://schemas.openxmlformats.org/spreadsheetml/2006/main">
  <authors>
    <author>KIN Model</author>
  </authors>
  <commentList>
    <comment ref="K9" authorId="0" shapeId="0">
      <text>
        <t># PLTR Q3 2025 Earnings Call — Anomalous Revenue Analysis
## Quantitative Context
- **Revenue:** $1.181B vs. $1.004B prior quarter (+$177M, +17.67%)</t>
      </text>
    </comment>
    <comment ref="L9" authorId="0" shapeId="0">
      <text>
        <t># PLTR Q4 2025 (Period Ending 2025-12-31) — Revenue Anomaly Analysis
## Quantitative Context
| Metric | Value |</t>
      </text>
    </comment>
    <comment ref="N9" authorId="0" shapeId="0">
      <text>
        <t>Q+1 Beat-Adjusted:
Consensus: $1,420.9M
x (1 + 5.66%)
= $1,501.3M implied</t>
      </text>
    </comment>
  </commentList>
</comments>
</file>

<file path=xl/comments/comment20.xml><?xml version="1.0" encoding="utf-8"?>
<comments xmlns="http://schemas.openxmlformats.org/spreadsheetml/2006/main">
  <authors>
    <author>KIN Model</author>
  </authors>
  <commentList>
    <comment ref="K9" authorId="0" shapeId="0">
      <text>
        <t xml:space="preserve"># HUBS Q3 2025 Revenue Anomaly Analysis
## Identified Factors Explaining the Revenue Distortion
</t>
      </text>
    </comment>
    <comment ref="N9" authorId="0" shapeId="0">
      <text>
        <t>Q+1 Beat-Adjusted:
Consensus: $843.6M
x (1 + 2.38%)
= $863.7M implied</t>
      </text>
    </comment>
  </commentList>
</comments>
</file>

<file path=xl/comments/comment21.xml><?xml version="1.0" encoding="utf-8"?>
<comments xmlns="http://schemas.openxmlformats.org/spreadsheetml/2006/main">
  <authors>
    <author>KIN Model</author>
  </authors>
  <commentList>
    <comment ref="L9" authorId="0" shapeId="0">
      <text>
        <t># ZS Q4 FY2025 (Quarter Ending 2025-10-31) Revenue Anomaly Analysis
## Note on Transcript Alignment
The transcript is labeled "Q1 FY2026" (ending October 31, 2025), which corresponds to the flagged quarter. The 9.58% QoQ sequential revenue growth ($788M vs. $719M prior quarter) and the 26% YoY g...</t>
      </text>
    </comment>
    <comment ref="O9" authorId="0" shapeId="0">
      <text>
        <t>Q+1 Beat-Adjusted:
Consensus: $871.1M
x (1 + 1.90%)
= $887.6M implied</t>
      </text>
    </comment>
  </commentList>
</comments>
</file>

<file path=xl/comments/comment22.xml><?xml version="1.0" encoding="utf-8"?>
<comments xmlns="http://schemas.openxmlformats.org/spreadsheetml/2006/main">
  <authors>
    <author>KIN Model</author>
  </authors>
  <commentList>
    <comment ref="O9" authorId="0" shapeId="0">
      <text>
        <t>Q+1 Beat-Adjusted:
Consensus: $1,353.9M
x (1 + 0.94%)
= $1,366.7M implied</t>
      </text>
    </comment>
  </commentList>
</comments>
</file>

<file path=xl/comments/comment23.xml><?xml version="1.0" encoding="utf-8"?>
<comments xmlns="http://schemas.openxmlformats.org/spreadsheetml/2006/main">
  <authors>
    <author>KIN Model</author>
  </authors>
  <commentList>
    <comment ref="O9" authorId="0" shapeId="0">
      <text>
        <t>Q+1 Beat-Adjusted:
Consensus: $750.3M
x (1 + 1.87%)
= $764.3M implied</t>
      </text>
    </comment>
  </commentList>
</comments>
</file>

<file path=xl/comments/comment24.xml><?xml version="1.0" encoding="utf-8"?>
<comments xmlns="http://schemas.openxmlformats.org/spreadsheetml/2006/main">
  <authors>
    <author>KIN Model</author>
  </authors>
  <commentList>
    <comment ref="N9" authorId="0" shapeId="0">
      <text>
        <t>Q+1 Beat-Adjusted:
Consensus: $694.7M
x (1 + 1.78%)
= $707.1M implied</t>
      </text>
    </comment>
  </commentList>
</comments>
</file>

<file path=xl/comments/comment25.xml><?xml version="1.0" encoding="utf-8"?>
<comments xmlns="http://schemas.openxmlformats.org/spreadsheetml/2006/main">
  <authors>
    <author>KIN Model</author>
  </authors>
  <commentList>
    <comment ref="O9" authorId="0" shapeId="0">
      <text>
        <t>Q+1 Beat-Adjusted:
Consensus: $249.2M
x (1 + 2.77%)
= $256.1M implied</t>
      </text>
    </comment>
  </commentList>
</comments>
</file>

<file path=xl/comments/comment26.xml><?xml version="1.0" encoding="utf-8"?>
<comments xmlns="http://schemas.openxmlformats.org/spreadsheetml/2006/main">
  <authors>
    <author>KIN Model</author>
  </authors>
  <commentList>
    <comment ref="N9" authorId="0" shapeId="0">
      <text>
        <t>Q+1 Beat-Adjusted:
Consensus: $403.5M
x (1 + 0.80%)
= $406.7M implied</t>
      </text>
    </comment>
  </commentList>
</comments>
</file>

<file path=xl/comments/comment27.xml><?xml version="1.0" encoding="utf-8"?>
<comments xmlns="http://schemas.openxmlformats.org/spreadsheetml/2006/main">
  <authors>
    <author>KIN Model</author>
  </authors>
  <commentList>
    <comment ref="N9" authorId="0" shapeId="0">
      <text>
        <t>Q+1 Beat-Adjusted:
Consensus: $334.1M
x (1 + 1.66%)
= $339.6M implied</t>
      </text>
    </comment>
  </commentList>
</comments>
</file>

<file path=xl/comments/comment28.xml><?xml version="1.0" encoding="utf-8"?>
<comments xmlns="http://schemas.openxmlformats.org/spreadsheetml/2006/main">
  <authors>
    <author>KIN Model</author>
  </authors>
  <commentList>
    <comment ref="N9" authorId="0" shapeId="0">
      <text>
        <t>Q+1 Beat-Adjusted:
Consensus: $316.9M
x (1 + 0.26%)
= $317.7M implied</t>
      </text>
    </comment>
  </commentList>
</comments>
</file>

<file path=xl/comments/comment29.xml><?xml version="1.0" encoding="utf-8"?>
<comments xmlns="http://schemas.openxmlformats.org/spreadsheetml/2006/main">
  <authors>
    <author>KIN Model</author>
  </authors>
  <commentList>
    <comment ref="N9" authorId="0" shapeId="0">
      <text>
        <t># Elastic (ESTC) Q3 FY2026 Revenue Anomaly Analysis
## Quarter Ending January 31, 2026
---</t>
      </text>
    </comment>
    <comment ref="O9" authorId="0" shapeId="0">
      <text>
        <t>Q+1 Beat-Adjusted:
Consensus: $446.5M
x (1 + 2.44%)
= $457.4M implied</t>
      </text>
    </comment>
  </commentList>
</comments>
</file>

<file path=xl/comments/comment30.xml><?xml version="1.0" encoding="utf-8"?>
<comments xmlns="http://schemas.openxmlformats.org/spreadsheetml/2006/main">
  <authors>
    <author>KIN Model</author>
  </authors>
  <commentList>
    <comment ref="K9" authorId="0" shapeId="0">
      <text>
        <t xml:space="preserve"># JFrog (FROG) Q3 2025 Revenue Anomaly Analysis
## Identified Factors Explaining the Revenue Distortion
</t>
      </text>
    </comment>
    <comment ref="N9" authorId="0" shapeId="0">
      <text>
        <t>Q+1 Beat-Adjusted:
Consensus: $144.5M
x (1 + 3.86%)
= $150.1M implied</t>
      </text>
    </comment>
  </commentList>
</comments>
</file>

<file path=xl/comments/comment31.xml><?xml version="1.0" encoding="utf-8"?>
<comments xmlns="http://schemas.openxmlformats.org/spreadsheetml/2006/main">
  <authors>
    <author>KIN Model</author>
  </authors>
  <commentList>
    <comment ref="O9" authorId="0" shapeId="0">
      <text>
        <t>Q+1 Beat-Adjusted:
Consensus: $274.9M
x (1 + -0.52%)
= $273.5M implied</t>
      </text>
    </comment>
  </commentList>
</comments>
</file>

<file path=xl/comments/comment32.xml><?xml version="1.0" encoding="utf-8"?>
<comments xmlns="http://schemas.openxmlformats.org/spreadsheetml/2006/main">
  <authors>
    <author>KIN Model</author>
  </authors>
  <commentList>
    <comment ref="N9" authorId="0" shapeId="0">
      <text>
        <t>Q+1 Beat-Adjusted:
Consensus: $302.2M
x (1 + 3.04%)
= $311.4M implied</t>
      </text>
    </comment>
  </commentList>
</comments>
</file>

<file path=xl/comments/comment33.xml><?xml version="1.0" encoding="utf-8"?>
<comments xmlns="http://schemas.openxmlformats.org/spreadsheetml/2006/main">
  <authors>
    <author>KIN Model</author>
  </authors>
  <commentList>
    <comment ref="L9" authorId="0" shapeId="0">
      <text>
        <t># Dynatrace (DT) Q4 2025 Revenue Anomaly Analysis
## Quarter Context Note
The flagged quarter (period ending 2025-12-31) corresponds to Dynatrace's **fiscal Q3 2026** (Dynatrace's fiscal year ends March 31). Revenue of $515,473,000 represents 16% year-over-year growth, and the QoQ increase of $2...</t>
      </text>
    </comment>
    <comment ref="N9" authorId="0" shapeId="0">
      <text>
        <t>Q+1 Beat-Adjusted:
Consensus: $521.0M
x (1 + 1.94%)
= $531.1M implied</t>
      </text>
    </comment>
  </commentList>
</comments>
</file>

<file path=xl/comments/comment34.xml><?xml version="1.0" encoding="utf-8"?>
<comments xmlns="http://schemas.openxmlformats.org/spreadsheetml/2006/main">
  <authors>
    <author>KIN Model</author>
  </authors>
  <commentList>
    <comment ref="N9" authorId="0" shapeId="0">
      <text>
        <t>Q+1 Beat-Adjusted:
Consensus: $1,607.4M
x (1 + 1.56%)
= $1,632.5M implied</t>
      </text>
    </comment>
  </commentList>
</comments>
</file>

<file path=xl/comments/comment35.xml><?xml version="1.0" encoding="utf-8"?>
<comments xmlns="http://schemas.openxmlformats.org/spreadsheetml/2006/main">
  <authors>
    <author>KIN Model</author>
  </authors>
  <commentList>
    <comment ref="K9" authorId="0" shapeId="0">
      <text>
        <t xml:space="preserve"># PCTY Q1 FY2026 (Quarter Ended September 30, 2025) — Revenue Anomaly Analysis
## Context Setting
</t>
      </text>
    </comment>
    <comment ref="N9" authorId="0" shapeId="0">
      <text>
        <t>Q+1 Beat-Adjusted:
Consensus: $489.9M
x (1 + 2.16%)
= $500.5M implied</t>
      </text>
    </comment>
  </commentList>
</comments>
</file>

<file path=xl/comments/comment36.xml><?xml version="1.0" encoding="utf-8"?>
<comments xmlns="http://schemas.openxmlformats.org/spreadsheetml/2006/main">
  <authors>
    <author>KIN Model</author>
  </authors>
  <commentList>
    <comment ref="L9" authorId="0" shapeId="0">
      <text>
        <t xml:space="preserve"># PAYC Q4 2025 Revenue Anomaly Analysis
## Quantitative Context
</t>
      </text>
    </comment>
    <comment ref="N9" authorId="0" shapeId="0">
      <text>
        <t>Q+1 Beat-Adjusted:
Consensus: $565.7M
x (1 + 0.95%)
= $571.1M implied</t>
      </text>
    </comment>
  </commentList>
</comments>
</file>

<file path=xl/comments/comment37.xml><?xml version="1.0" encoding="utf-8"?>
<comments xmlns="http://schemas.openxmlformats.org/spreadsheetml/2006/main">
  <authors>
    <author>KIN Model</author>
  </authors>
  <commentList>
    <comment ref="L9" authorId="0" shapeId="0">
      <text>
        <t># GWRE Q4 FY2025 (Period Ending 2025-10-31) Revenue Anomaly Analysis
## Context Clarification
This earnings call is for **Q1 FY2026** (quarter ending October 31, 2025), which is the quarter under review. The anomaly flags a QoQ decline of -$23.9M (-6.71%), which was **significantly less severe**...</t>
      </text>
    </comment>
    <comment ref="O9" authorId="0" shapeId="0">
      <text>
        <t>Q+1 Beat-Adjusted:
Consensus: $356.0M
x (1 + 4.47%)
= $371.9M implied</t>
      </text>
    </comment>
  </commentList>
</comments>
</file>

<file path=xl/comments/comment38.xml><?xml version="1.0" encoding="utf-8"?>
<comments xmlns="http://schemas.openxmlformats.org/spreadsheetml/2006/main">
  <authors>
    <author>KIN Model</author>
  </authors>
  <commentList>
    <comment ref="N9" authorId="0" shapeId="0">
      <text>
        <t>Q+1 Beat-Adjusted:
Consensus: $418.9M
x (1 + 1.35%)
= $424.5M implied</t>
      </text>
    </comment>
  </commentList>
</comments>
</file>

<file path=xl/comments/comment39.xml><?xml version="1.0" encoding="utf-8"?>
<comments xmlns="http://schemas.openxmlformats.org/spreadsheetml/2006/main">
  <authors>
    <author>KIN Model</author>
  </authors>
  <commentList>
    <comment ref="J9" authorId="0" shapeId="0">
      <text>
        <t xml:space="preserve"># CWAN Revenue Anomaly Analysis: Q2 2025 (flagged as $181.9M vs. prior quarter $126.9M)
## Critical Preliminary Note
</t>
      </text>
    </comment>
    <comment ref="K9" authorId="0" shapeId="0">
      <text>
        <t xml:space="preserve"># CWAN Q3 2025 Revenue Anomaly Analysis
## Executive Summary of the Quarter
</t>
      </text>
    </comment>
    <comment ref="N9" authorId="0" shapeId="0">
      <text>
        <t>Q+1 Beat-Adjusted:
Consensus: $163.8M
x (1 + -3.31%)
= $158.3M implied</t>
      </text>
    </comment>
  </commentList>
</comments>
</file>

<file path=xl/comments/comment40.xml><?xml version="1.0" encoding="utf-8"?>
<comments xmlns="http://schemas.openxmlformats.org/spreadsheetml/2006/main">
  <authors>
    <author>KIN Model</author>
  </authors>
  <commentList>
    <comment ref="N9" authorId="0" shapeId="0">
      <text>
        <t xml:space="preserve"># nCino (NCNO) Q1 FY2027 (Quarter Ended January 31, 2026) Revenue Anomaly Analysis
## Overview of the Anomaly
</t>
      </text>
    </comment>
    <comment ref="O9" authorId="0" shapeId="0">
      <text>
        <t>Q+1 Beat-Adjusted:
Consensus: $155.5M
x (1 + 1.54%)
= $157.9M implied</t>
      </text>
    </comment>
  </commentList>
</comments>
</file>

<file path=xl/comments/comment41.xml><?xml version="1.0" encoding="utf-8"?>
<comments xmlns="http://schemas.openxmlformats.org/spreadsheetml/2006/main">
  <authors>
    <author>KIN Model</author>
  </authors>
  <commentList>
    <comment ref="L9" authorId="0" shapeId="0">
      <text>
        <t># BRZE Q4 FY2026 (Quarter Ended October 31, 2025) Revenue Anomaly Analysis
## Context Note
The flagged quarter (2025-10-31) corresponds to **Q3 FY2026** in Braze's fiscal calendar, with revenue of $190,842,000 (~$191M as reported). The QoQ growth of ~5.96% was 1.55 standard deviations above seas...</t>
      </text>
    </comment>
    <comment ref="N9" authorId="0" shapeId="0">
      <text>
        <t># BRZE Q4 FY2026 (Quarter Ending 2026-01-31) Revenue Anomaly Analysis
## Context Note
The flagged quarter (ending 2026-01-31) corresponds to **Q4 FY2026** in Braze's fiscal calendar — the quarter discussed in this earnings call. The QoQ revenue increase of $14.3M (+7.51%) was approximately 1.84 ...</t>
      </text>
    </comment>
    <comment ref="O9" authorId="0" shapeId="0">
      <text>
        <t>Q+1 Beat-Adjusted:
Consensus: $194.9M
x (1 + 2.27%)
= $199.3M implied</t>
      </text>
    </comment>
  </commentList>
</comments>
</file>

<file path=xl/comments/comment42.xml><?xml version="1.0" encoding="utf-8"?>
<comments xmlns="http://schemas.openxmlformats.org/spreadsheetml/2006/main">
  <authors>
    <author>KIN Model</author>
  </authors>
  <commentList>
    <comment ref="N9" authorId="0" shapeId="0">
      <text>
        <t>Q+1 Beat-Adjusted:
Consensus: $341.7M
x (1 + 4.50%)
= $357.1M implied</t>
      </text>
    </comment>
  </commentList>
</comments>
</file>

<file path=xl/comments/comment43.xml><?xml version="1.0" encoding="utf-8"?>
<comments xmlns="http://schemas.openxmlformats.org/spreadsheetml/2006/main">
  <authors>
    <author>KIN Model</author>
  </authors>
  <commentList>
    <comment ref="N9" authorId="0" shapeId="0">
      <text>
        <t>Q+1 Beat-Adjusted:
Consensus: $351.3M
x (1 + 1.74%)
= $357.4M implied</t>
      </text>
    </comment>
  </commentList>
</comments>
</file>

<file path=xl/comments/comment44.xml><?xml version="1.0" encoding="utf-8"?>
<comments xmlns="http://schemas.openxmlformats.org/spreadsheetml/2006/main">
  <authors>
    <author>KIN Model</author>
  </authors>
  <commentList>
    <comment ref="N9" authorId="0" shapeId="0">
      <text>
        <t>Q+1 Beat-Adjusted:
Consensus: $192.7M
x (1 + -0.04%)
= $192.6M implied</t>
      </text>
    </comment>
  </commentList>
</comments>
</file>

<file path=xl/comments/comment45.xml><?xml version="1.0" encoding="utf-8"?>
<comments xmlns="http://schemas.openxmlformats.org/spreadsheetml/2006/main">
  <authors>
    <author>KIN Model</author>
  </authors>
  <commentList>
    <comment ref="N9" authorId="0" shapeId="0">
      <text>
        <t>Q+1 Beat-Adjusted:
Consensus: $273.7M
x (1 + 2.34%)
= $280.1M implied</t>
      </text>
    </comment>
  </commentList>
</comments>
</file>

<file path=xl/comments/comment46.xml><?xml version="1.0" encoding="utf-8"?>
<comments xmlns="http://schemas.openxmlformats.org/spreadsheetml/2006/main">
  <authors>
    <author>KIN Model</author>
  </authors>
  <commentList>
    <comment ref="K9" authorId="0" shapeId="0">
      <text>
        <t xml:space="preserve"># AZPN Q1 FY2025 (Quarter Ending 2024-09-30) Revenue Anomaly Analysis
## Overview
</t>
      </text>
    </comment>
    <comment ref="N9" authorId="0" shapeId="0">
      <text>
        <t>Q+1 Beat-Adjusted:
Consensus: $288.4M
x (1 + 0.87%)
= $290.9M implied</t>
      </text>
    </comment>
  </commentList>
</comments>
</file>

<file path=xl/comments/comment47.xml><?xml version="1.0" encoding="utf-8"?>
<comments xmlns="http://schemas.openxmlformats.org/spreadsheetml/2006/main">
  <authors>
    <author>KIN Model</author>
  </authors>
  <commentList>
    <comment ref="N9" authorId="0" shapeId="0">
      <text>
        <t>Q+1 Beat-Adjusted:
Consensus: $191.6M
x (1 + 0.56%)
= $192.6M implied</t>
      </text>
    </comment>
  </commentList>
</comments>
</file>

<file path=xl/comments/comment48.xml><?xml version="1.0" encoding="utf-8"?>
<comments xmlns="http://schemas.openxmlformats.org/spreadsheetml/2006/main">
  <authors>
    <author>KIN Model</author>
  </authors>
  <commentList>
    <comment ref="N9" authorId="0" shapeId="0">
      <text>
        <t>Q+1 Beat-Adjusted:
Consensus: $255.9M
x (1 + -0.86%)
= $253.7M implied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4.xml" Id="comments" /><Relationship Type="http://schemas.openxmlformats.org/officeDocument/2006/relationships/vmlDrawing" Target="/xl/drawings/commentsDrawing14.vml" Id="anysvml" 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5.xml" Id="comments" /><Relationship Type="http://schemas.openxmlformats.org/officeDocument/2006/relationships/vmlDrawing" Target="/xl/drawings/commentsDrawing15.vml" Id="anysvml" 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6.xml" Id="comments" /><Relationship Type="http://schemas.openxmlformats.org/officeDocument/2006/relationships/vmlDrawing" Target="/xl/drawings/commentsDrawing16.vml" Id="anysvml" 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7.xml" Id="comments" /><Relationship Type="http://schemas.openxmlformats.org/officeDocument/2006/relationships/vmlDrawing" Target="/xl/drawings/commentsDrawing17.vml" Id="anysvml" 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8.xml" Id="comments" /><Relationship Type="http://schemas.openxmlformats.org/officeDocument/2006/relationships/vmlDrawing" Target="/xl/drawings/commentsDrawing18.vml" Id="anysvml" 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19.xml" Id="comments" /><Relationship Type="http://schemas.openxmlformats.org/officeDocument/2006/relationships/vmlDrawing" Target="/xl/drawings/commentsDrawing19.vml" Id="anysvml" 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20.xml" Id="comments" /><Relationship Type="http://schemas.openxmlformats.org/officeDocument/2006/relationships/vmlDrawing" Target="/xl/drawings/commentsDrawing20.vml" Id="anysvml" 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21.xml" Id="comments" /><Relationship Type="http://schemas.openxmlformats.org/officeDocument/2006/relationships/vmlDrawing" Target="/xl/drawings/commentsDrawing21.vml" Id="anysvml" 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22.xml" Id="comments" /><Relationship Type="http://schemas.openxmlformats.org/officeDocument/2006/relationships/vmlDrawing" Target="/xl/drawings/commentsDrawing22.vml" Id="anysvml" /></Relationships>
</file>

<file path=xl/worksheets/_rels/sheet24.xml.rels><Relationships xmlns="http://schemas.openxmlformats.org/package/2006/relationships"><Relationship Type="http://schemas.openxmlformats.org/officeDocument/2006/relationships/comments" Target="/xl/comments/comment23.xml" Id="comments" /><Relationship Type="http://schemas.openxmlformats.org/officeDocument/2006/relationships/vmlDrawing" Target="/xl/drawings/commentsDrawing23.vml" Id="anysvml" /></Relationships>
</file>

<file path=xl/worksheets/_rels/sheet25.xml.rels><Relationships xmlns="http://schemas.openxmlformats.org/package/2006/relationships"><Relationship Type="http://schemas.openxmlformats.org/officeDocument/2006/relationships/comments" Target="/xl/comments/comment24.xml" Id="comments" /><Relationship Type="http://schemas.openxmlformats.org/officeDocument/2006/relationships/vmlDrawing" Target="/xl/drawings/commentsDrawing24.vml" Id="anysvml" /></Relationships>
</file>

<file path=xl/worksheets/_rels/sheet26.xml.rels><Relationships xmlns="http://schemas.openxmlformats.org/package/2006/relationships"><Relationship Type="http://schemas.openxmlformats.org/officeDocument/2006/relationships/comments" Target="/xl/comments/comment25.xml" Id="comments" /><Relationship Type="http://schemas.openxmlformats.org/officeDocument/2006/relationships/vmlDrawing" Target="/xl/drawings/commentsDrawing25.vml" Id="anysvml" /></Relationships>
</file>

<file path=xl/worksheets/_rels/sheet27.xml.rels><Relationships xmlns="http://schemas.openxmlformats.org/package/2006/relationships"><Relationship Type="http://schemas.openxmlformats.org/officeDocument/2006/relationships/comments" Target="/xl/comments/comment26.xml" Id="comments" /><Relationship Type="http://schemas.openxmlformats.org/officeDocument/2006/relationships/vmlDrawing" Target="/xl/drawings/commentsDrawing26.vml" Id="anysvml" /></Relationships>
</file>

<file path=xl/worksheets/_rels/sheet28.xml.rels><Relationships xmlns="http://schemas.openxmlformats.org/package/2006/relationships"><Relationship Type="http://schemas.openxmlformats.org/officeDocument/2006/relationships/comments" Target="/xl/comments/comment27.xml" Id="comments" /><Relationship Type="http://schemas.openxmlformats.org/officeDocument/2006/relationships/vmlDrawing" Target="/xl/drawings/commentsDrawing27.vml" Id="anysvml" /></Relationships>
</file>

<file path=xl/worksheets/_rels/sheet29.xml.rels><Relationships xmlns="http://schemas.openxmlformats.org/package/2006/relationships"><Relationship Type="http://schemas.openxmlformats.org/officeDocument/2006/relationships/comments" Target="/xl/comments/comment28.xml" Id="comments" /><Relationship Type="http://schemas.openxmlformats.org/officeDocument/2006/relationships/vmlDrawing" Target="/xl/drawings/commentsDrawing28.vml" Id="anysvml" /></Relationships>
</file>

<file path=xl/worksheets/_rels/sheet30.xml.rels><Relationships xmlns="http://schemas.openxmlformats.org/package/2006/relationships"><Relationship Type="http://schemas.openxmlformats.org/officeDocument/2006/relationships/comments" Target="/xl/comments/comment29.xml" Id="comments" /><Relationship Type="http://schemas.openxmlformats.org/officeDocument/2006/relationships/vmlDrawing" Target="/xl/drawings/commentsDrawing29.vml" Id="anysvml" /></Relationships>
</file>

<file path=xl/worksheets/_rels/sheet31.xml.rels><Relationships xmlns="http://schemas.openxmlformats.org/package/2006/relationships"><Relationship Type="http://schemas.openxmlformats.org/officeDocument/2006/relationships/comments" Target="/xl/comments/comment30.xml" Id="comments" /><Relationship Type="http://schemas.openxmlformats.org/officeDocument/2006/relationships/vmlDrawing" Target="/xl/drawings/commentsDrawing30.vml" Id="anysvml" /></Relationships>
</file>

<file path=xl/worksheets/_rels/sheet32.xml.rels><Relationships xmlns="http://schemas.openxmlformats.org/package/2006/relationships"><Relationship Type="http://schemas.openxmlformats.org/officeDocument/2006/relationships/comments" Target="/xl/comments/comment31.xml" Id="comments" /><Relationship Type="http://schemas.openxmlformats.org/officeDocument/2006/relationships/vmlDrawing" Target="/xl/drawings/commentsDrawing31.vml" Id="anysvml" /></Relationships>
</file>

<file path=xl/worksheets/_rels/sheet33.xml.rels><Relationships xmlns="http://schemas.openxmlformats.org/package/2006/relationships"><Relationship Type="http://schemas.openxmlformats.org/officeDocument/2006/relationships/comments" Target="/xl/comments/comment32.xml" Id="comments" /><Relationship Type="http://schemas.openxmlformats.org/officeDocument/2006/relationships/vmlDrawing" Target="/xl/drawings/commentsDrawing32.vml" Id="anysvml" /></Relationships>
</file>

<file path=xl/worksheets/_rels/sheet34.xml.rels><Relationships xmlns="http://schemas.openxmlformats.org/package/2006/relationships"><Relationship Type="http://schemas.openxmlformats.org/officeDocument/2006/relationships/comments" Target="/xl/comments/comment33.xml" Id="comments" /><Relationship Type="http://schemas.openxmlformats.org/officeDocument/2006/relationships/vmlDrawing" Target="/xl/drawings/commentsDrawing33.vml" Id="anysvml" /></Relationships>
</file>

<file path=xl/worksheets/_rels/sheet35.xml.rels><Relationships xmlns="http://schemas.openxmlformats.org/package/2006/relationships"><Relationship Type="http://schemas.openxmlformats.org/officeDocument/2006/relationships/comments" Target="/xl/comments/comment34.xml" Id="comments" /><Relationship Type="http://schemas.openxmlformats.org/officeDocument/2006/relationships/vmlDrawing" Target="/xl/drawings/commentsDrawing34.vml" Id="anysvml" /></Relationships>
</file>

<file path=xl/worksheets/_rels/sheet36.xml.rels><Relationships xmlns="http://schemas.openxmlformats.org/package/2006/relationships"><Relationship Type="http://schemas.openxmlformats.org/officeDocument/2006/relationships/comments" Target="/xl/comments/comment35.xml" Id="comments" /><Relationship Type="http://schemas.openxmlformats.org/officeDocument/2006/relationships/vmlDrawing" Target="/xl/drawings/commentsDrawing35.vml" Id="anysvml" /></Relationships>
</file>

<file path=xl/worksheets/_rels/sheet37.xml.rels><Relationships xmlns="http://schemas.openxmlformats.org/package/2006/relationships"><Relationship Type="http://schemas.openxmlformats.org/officeDocument/2006/relationships/comments" Target="/xl/comments/comment36.xml" Id="comments" /><Relationship Type="http://schemas.openxmlformats.org/officeDocument/2006/relationships/vmlDrawing" Target="/xl/drawings/commentsDrawing36.vml" Id="anysvml" /></Relationships>
</file>

<file path=xl/worksheets/_rels/sheet38.xml.rels><Relationships xmlns="http://schemas.openxmlformats.org/package/2006/relationships"><Relationship Type="http://schemas.openxmlformats.org/officeDocument/2006/relationships/comments" Target="/xl/comments/comment37.xml" Id="comments" /><Relationship Type="http://schemas.openxmlformats.org/officeDocument/2006/relationships/vmlDrawing" Target="/xl/drawings/commentsDrawing37.vml" Id="anysvml" /></Relationships>
</file>

<file path=xl/worksheets/_rels/sheet39.xml.rels><Relationships xmlns="http://schemas.openxmlformats.org/package/2006/relationships"><Relationship Type="http://schemas.openxmlformats.org/officeDocument/2006/relationships/comments" Target="/xl/comments/comment38.xml" Id="comments" /><Relationship Type="http://schemas.openxmlformats.org/officeDocument/2006/relationships/vmlDrawing" Target="/xl/drawings/commentsDrawing38.vml" Id="anysvml" /></Relationships>
</file>

<file path=xl/worksheets/_rels/sheet40.xml.rels><Relationships xmlns="http://schemas.openxmlformats.org/package/2006/relationships"><Relationship Type="http://schemas.openxmlformats.org/officeDocument/2006/relationships/comments" Target="/xl/comments/comment39.xml" Id="comments" /><Relationship Type="http://schemas.openxmlformats.org/officeDocument/2006/relationships/vmlDrawing" Target="/xl/drawings/commentsDrawing39.vml" Id="anysvml" /></Relationships>
</file>

<file path=xl/worksheets/_rels/sheet41.xml.rels><Relationships xmlns="http://schemas.openxmlformats.org/package/2006/relationships"><Relationship Type="http://schemas.openxmlformats.org/officeDocument/2006/relationships/comments" Target="/xl/comments/comment40.xml" Id="comments" /><Relationship Type="http://schemas.openxmlformats.org/officeDocument/2006/relationships/vmlDrawing" Target="/xl/drawings/commentsDrawing40.vml" Id="anysvml" /></Relationships>
</file>

<file path=xl/worksheets/_rels/sheet42.xml.rels><Relationships xmlns="http://schemas.openxmlformats.org/package/2006/relationships"><Relationship Type="http://schemas.openxmlformats.org/officeDocument/2006/relationships/comments" Target="/xl/comments/comment41.xml" Id="comments" /><Relationship Type="http://schemas.openxmlformats.org/officeDocument/2006/relationships/vmlDrawing" Target="/xl/drawings/commentsDrawing41.vml" Id="anysvml" /></Relationships>
</file>

<file path=xl/worksheets/_rels/sheet43.xml.rels><Relationships xmlns="http://schemas.openxmlformats.org/package/2006/relationships"><Relationship Type="http://schemas.openxmlformats.org/officeDocument/2006/relationships/comments" Target="/xl/comments/comment42.xml" Id="comments" /><Relationship Type="http://schemas.openxmlformats.org/officeDocument/2006/relationships/vmlDrawing" Target="/xl/drawings/commentsDrawing42.vml" Id="anysvml" /></Relationships>
</file>

<file path=xl/worksheets/_rels/sheet44.xml.rels><Relationships xmlns="http://schemas.openxmlformats.org/package/2006/relationships"><Relationship Type="http://schemas.openxmlformats.org/officeDocument/2006/relationships/comments" Target="/xl/comments/comment43.xml" Id="comments" /><Relationship Type="http://schemas.openxmlformats.org/officeDocument/2006/relationships/vmlDrawing" Target="/xl/drawings/commentsDrawing43.vml" Id="anysvml" /></Relationships>
</file>

<file path=xl/worksheets/_rels/sheet45.xml.rels><Relationships xmlns="http://schemas.openxmlformats.org/package/2006/relationships"><Relationship Type="http://schemas.openxmlformats.org/officeDocument/2006/relationships/comments" Target="/xl/comments/comment44.xml" Id="comments" /><Relationship Type="http://schemas.openxmlformats.org/officeDocument/2006/relationships/vmlDrawing" Target="/xl/drawings/commentsDrawing44.vml" Id="anysvml" /></Relationships>
</file>

<file path=xl/worksheets/_rels/sheet46.xml.rels><Relationships xmlns="http://schemas.openxmlformats.org/package/2006/relationships"><Relationship Type="http://schemas.openxmlformats.org/officeDocument/2006/relationships/comments" Target="/xl/comments/comment45.xml" Id="comments" /><Relationship Type="http://schemas.openxmlformats.org/officeDocument/2006/relationships/vmlDrawing" Target="/xl/drawings/commentsDrawing45.vml" Id="anysvml" /></Relationships>
</file>

<file path=xl/worksheets/_rels/sheet47.xml.rels><Relationships xmlns="http://schemas.openxmlformats.org/package/2006/relationships"><Relationship Type="http://schemas.openxmlformats.org/officeDocument/2006/relationships/comments" Target="/xl/comments/comment46.xml" Id="comments" /><Relationship Type="http://schemas.openxmlformats.org/officeDocument/2006/relationships/vmlDrawing" Target="/xl/drawings/commentsDrawing46.vml" Id="anysvml" /></Relationships>
</file>

<file path=xl/worksheets/_rels/sheet48.xml.rels><Relationships xmlns="http://schemas.openxmlformats.org/package/2006/relationships"><Relationship Type="http://schemas.openxmlformats.org/officeDocument/2006/relationships/comments" Target="/xl/comments/comment47.xml" Id="comments" /><Relationship Type="http://schemas.openxmlformats.org/officeDocument/2006/relationships/vmlDrawing" Target="/xl/drawings/commentsDrawing47.vml" Id="anysvml" /></Relationships>
</file>

<file path=xl/worksheets/_rels/sheet49.xml.rels><Relationships xmlns="http://schemas.openxmlformats.org/package/2006/relationships"><Relationship Type="http://schemas.openxmlformats.org/officeDocument/2006/relationships/comments" Target="/xl/comments/comment48.xml" Id="comments" /><Relationship Type="http://schemas.openxmlformats.org/officeDocument/2006/relationships/vmlDrawing" Target="/xl/drawings/commentsDrawing48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62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9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4" customWidth="1" min="26" max="26"/>
    <col width="14" customWidth="1" min="27" max="27"/>
    <col width="10" customWidth="1" min="28" max="28"/>
  </cols>
  <sheetData>
    <row r="1">
      <c r="A1" s="1" t="inlineStr">
        <is>
          <t>KINETIC REVENUE MODEL</t>
        </is>
      </c>
      <c r="C1" s="2" t="inlineStr">
        <is>
          <t>Generated April 12, 2026 16:14</t>
        </is>
      </c>
    </row>
    <row r="2">
      <c r="A2" s="3" t="inlineStr">
        <is>
          <t>Ticker</t>
        </is>
      </c>
      <c r="B2" s="3" t="inlineStr">
        <is>
          <t>Beat %</t>
        </is>
      </c>
      <c r="C2" s="3" t="inlineStr">
        <is>
          <t>Momentum</t>
        </is>
      </c>
      <c r="D2" s="4" t="inlineStr">
        <is>
          <t>Q1-24</t>
        </is>
      </c>
      <c r="E2" s="5" t="inlineStr">
        <is>
          <t>Q2-24</t>
        </is>
      </c>
      <c r="F2" s="5" t="inlineStr">
        <is>
          <t>Q3-24</t>
        </is>
      </c>
      <c r="G2" s="5" t="inlineStr">
        <is>
          <t>Q4-24</t>
        </is>
      </c>
      <c r="H2" s="6" t="inlineStr">
        <is>
          <t>FY24</t>
        </is>
      </c>
      <c r="I2" s="4" t="inlineStr">
        <is>
          <t>Q1-25</t>
        </is>
      </c>
      <c r="J2" s="5" t="inlineStr">
        <is>
          <t>Q2-25</t>
        </is>
      </c>
      <c r="K2" s="5" t="inlineStr">
        <is>
          <t>Q3-25</t>
        </is>
      </c>
      <c r="L2" s="5" t="inlineStr">
        <is>
          <t>Q4-25</t>
        </is>
      </c>
      <c r="M2" s="6" t="inlineStr">
        <is>
          <t>FY25</t>
        </is>
      </c>
      <c r="N2" s="4" t="inlineStr">
        <is>
          <t>Q1-26</t>
        </is>
      </c>
      <c r="O2" s="5" t="inlineStr">
        <is>
          <t>Q2-26E</t>
        </is>
      </c>
      <c r="P2" s="5" t="inlineStr">
        <is>
          <t>Q3-26E</t>
        </is>
      </c>
      <c r="Q2" s="5" t="inlineStr">
        <is>
          <t>Q4-26E</t>
        </is>
      </c>
      <c r="R2" s="6" t="inlineStr">
        <is>
          <t>FY26E</t>
        </is>
      </c>
      <c r="S2" s="4" t="inlineStr">
        <is>
          <t>Q1-27E</t>
        </is>
      </c>
      <c r="T2" s="5" t="inlineStr">
        <is>
          <t>Q2-27E</t>
        </is>
      </c>
      <c r="U2" s="5" t="inlineStr">
        <is>
          <t>Q3-27E</t>
        </is>
      </c>
      <c r="V2" s="5" t="inlineStr">
        <is>
          <t>Q4-27E</t>
        </is>
      </c>
      <c r="W2" s="6" t="inlineStr">
        <is>
          <t>FY27E</t>
        </is>
      </c>
      <c r="X2" s="4" t="inlineStr">
        <is>
          <t>Q1-28E</t>
        </is>
      </c>
      <c r="Z2" s="3" t="inlineStr">
        <is>
          <t>Impl Guide</t>
        </is>
      </c>
      <c r="AA2" s="3" t="inlineStr">
        <is>
          <t>Consensus</t>
        </is>
      </c>
      <c r="AB2" s="3" t="inlineStr">
        <is>
          <t>Gap %</t>
        </is>
      </c>
    </row>
    <row r="3">
      <c r="A3" s="3" t="inlineStr">
        <is>
          <t>Total Revenue ($M)</t>
        </is>
      </c>
      <c r="D3" s="7" t="n"/>
      <c r="H3" s="8" t="n"/>
      <c r="I3" s="7" t="n"/>
      <c r="M3" s="8" t="n"/>
      <c r="N3" s="7" t="n"/>
      <c r="R3" s="8" t="n"/>
      <c r="S3" s="7" t="n"/>
      <c r="W3" s="8" t="n"/>
      <c r="X3" s="7" t="n"/>
    </row>
    <row r="4">
      <c r="A4" s="9" t="inlineStr">
        <is>
          <t>ADBE</t>
        </is>
      </c>
      <c r="B4" s="10" t="n">
        <v>0.0144</v>
      </c>
      <c r="C4" s="9" t="inlineStr">
        <is>
          <t>STABLE</t>
        </is>
      </c>
      <c r="D4" s="11">
        <f>'ADBE'!D9</f>
        <v/>
      </c>
      <c r="E4" s="12">
        <f>'ADBE'!E9</f>
        <v/>
      </c>
      <c r="F4" s="12">
        <f>'ADBE'!F9</f>
        <v/>
      </c>
      <c r="G4" s="12">
        <f>'ADBE'!G9</f>
        <v/>
      </c>
      <c r="H4" s="13">
        <f>'ADBE'!H9</f>
        <v/>
      </c>
      <c r="I4" s="11">
        <f>'ADBE'!I9</f>
        <v/>
      </c>
      <c r="J4" s="12">
        <f>'ADBE'!J9</f>
        <v/>
      </c>
      <c r="K4" s="12">
        <f>'ADBE'!K9</f>
        <v/>
      </c>
      <c r="L4" s="12">
        <f>'ADBE'!L9</f>
        <v/>
      </c>
      <c r="M4" s="13">
        <f>'ADBE'!M9</f>
        <v/>
      </c>
      <c r="N4" s="11">
        <f>'ADBE'!N9</f>
        <v/>
      </c>
      <c r="O4" s="12">
        <f>'ADBE'!O9</f>
        <v/>
      </c>
      <c r="P4" s="12">
        <f>'ADBE'!P9</f>
        <v/>
      </c>
      <c r="Q4" s="12">
        <f>'ADBE'!Q9</f>
        <v/>
      </c>
      <c r="R4" s="13">
        <f>'ADBE'!R9</f>
        <v/>
      </c>
      <c r="S4" s="11">
        <f>'ADBE'!S9</f>
        <v/>
      </c>
      <c r="T4" s="12">
        <f>'ADBE'!T9</f>
        <v/>
      </c>
      <c r="U4" s="12">
        <f>'ADBE'!U9</f>
        <v/>
      </c>
      <c r="V4" s="12">
        <f>'ADBE'!V9</f>
        <v/>
      </c>
      <c r="W4" s="13">
        <f>'ADBE'!W9</f>
        <v/>
      </c>
      <c r="X4" s="7" t="n"/>
      <c r="Z4" s="12">
        <f>'ADBE'!P23</f>
        <v/>
      </c>
      <c r="AA4" s="12">
        <f>'ADBE'!P15</f>
        <v/>
      </c>
      <c r="AB4" s="14">
        <f>IFERROR((Z4-AA4)/AA4,"-")</f>
        <v/>
      </c>
    </row>
    <row r="5">
      <c r="A5" s="9" t="inlineStr">
        <is>
          <t>INTU</t>
        </is>
      </c>
      <c r="B5" s="10" t="n">
        <v>0.0271</v>
      </c>
      <c r="C5" s="15" t="inlineStr">
        <is>
          <t>ACCELERATING</t>
        </is>
      </c>
      <c r="D5" s="11">
        <f>'INTU'!D9</f>
        <v/>
      </c>
      <c r="E5" s="12">
        <f>'INTU'!E9</f>
        <v/>
      </c>
      <c r="F5" s="12">
        <f>'INTU'!F9</f>
        <v/>
      </c>
      <c r="G5" s="12">
        <f>'INTU'!G9</f>
        <v/>
      </c>
      <c r="H5" s="13">
        <f>'INTU'!H9</f>
        <v/>
      </c>
      <c r="I5" s="11">
        <f>'INTU'!I9</f>
        <v/>
      </c>
      <c r="J5" s="12">
        <f>'INTU'!J9</f>
        <v/>
      </c>
      <c r="K5" s="12">
        <f>'INTU'!K9</f>
        <v/>
      </c>
      <c r="L5" s="12">
        <f>'INTU'!L9</f>
        <v/>
      </c>
      <c r="M5" s="13">
        <f>'INTU'!M9</f>
        <v/>
      </c>
      <c r="N5" s="11">
        <f>'INTU'!N9</f>
        <v/>
      </c>
      <c r="O5" s="12">
        <f>'INTU'!O9</f>
        <v/>
      </c>
      <c r="P5" s="12">
        <f>'INTU'!P9</f>
        <v/>
      </c>
      <c r="Q5" s="12">
        <f>'INTU'!Q9</f>
        <v/>
      </c>
      <c r="R5" s="13">
        <f>'INTU'!R9</f>
        <v/>
      </c>
      <c r="S5" s="11">
        <f>'INTU'!S9</f>
        <v/>
      </c>
      <c r="T5" s="12">
        <f>'INTU'!T9</f>
        <v/>
      </c>
      <c r="U5" s="12">
        <f>'INTU'!U9</f>
        <v/>
      </c>
      <c r="V5" s="12">
        <f>'INTU'!V9</f>
        <v/>
      </c>
      <c r="W5" s="13">
        <f>'INTU'!W9</f>
        <v/>
      </c>
      <c r="X5" s="11">
        <f>'INTU'!X9</f>
        <v/>
      </c>
      <c r="Z5" s="12">
        <f>'INTU'!P23</f>
        <v/>
      </c>
      <c r="AA5" s="12">
        <f>'INTU'!P15</f>
        <v/>
      </c>
      <c r="AB5" s="14">
        <f>IFERROR((Z5-AA5)/AA5,"-")</f>
        <v/>
      </c>
    </row>
    <row r="6">
      <c r="A6" s="9" t="inlineStr">
        <is>
          <t>NOW</t>
        </is>
      </c>
      <c r="B6" s="10" t="n">
        <v>0.0111</v>
      </c>
      <c r="C6" s="9" t="inlineStr">
        <is>
          <t>STABLE</t>
        </is>
      </c>
      <c r="D6" s="11">
        <f>'NOW'!D9</f>
        <v/>
      </c>
      <c r="E6" s="12">
        <f>'NOW'!E9</f>
        <v/>
      </c>
      <c r="F6" s="12">
        <f>'NOW'!F9</f>
        <v/>
      </c>
      <c r="G6" s="12">
        <f>'NOW'!G9</f>
        <v/>
      </c>
      <c r="H6" s="13">
        <f>'NOW'!H9</f>
        <v/>
      </c>
      <c r="I6" s="11">
        <f>'NOW'!I9</f>
        <v/>
      </c>
      <c r="J6" s="12">
        <f>'NOW'!J9</f>
        <v/>
      </c>
      <c r="K6" s="12">
        <f>'NOW'!K9</f>
        <v/>
      </c>
      <c r="L6" s="12">
        <f>'NOW'!L9</f>
        <v/>
      </c>
      <c r="M6" s="13">
        <f>'NOW'!M9</f>
        <v/>
      </c>
      <c r="N6" s="11">
        <f>'NOW'!N9</f>
        <v/>
      </c>
      <c r="O6" s="12">
        <f>'NOW'!O9</f>
        <v/>
      </c>
      <c r="P6" s="12">
        <f>'NOW'!P9</f>
        <v/>
      </c>
      <c r="Q6" s="12">
        <f>'NOW'!Q9</f>
        <v/>
      </c>
      <c r="R6" s="13">
        <f>'NOW'!R9</f>
        <v/>
      </c>
      <c r="S6" s="11">
        <f>'NOW'!S9</f>
        <v/>
      </c>
      <c r="T6" s="12">
        <f>'NOW'!T9</f>
        <v/>
      </c>
      <c r="U6" s="12">
        <f>'NOW'!U9</f>
        <v/>
      </c>
      <c r="V6" s="12">
        <f>'NOW'!V9</f>
        <v/>
      </c>
      <c r="W6" s="13">
        <f>'NOW'!W9</f>
        <v/>
      </c>
      <c r="X6" s="7" t="n"/>
      <c r="Z6" s="12">
        <f>'NOW'!O23</f>
        <v/>
      </c>
      <c r="AA6" s="12">
        <f>'NOW'!O15</f>
        <v/>
      </c>
      <c r="AB6" s="14">
        <f>IFERROR((Z6-AA6)/AA6,"-")</f>
        <v/>
      </c>
    </row>
    <row r="7">
      <c r="A7" s="9" t="inlineStr">
        <is>
          <t>PANW</t>
        </is>
      </c>
      <c r="B7" s="10" t="n">
        <v>0.0077</v>
      </c>
      <c r="C7" s="9" t="inlineStr">
        <is>
          <t>STABLE</t>
        </is>
      </c>
      <c r="D7" s="11">
        <f>'PANW'!D9</f>
        <v/>
      </c>
      <c r="E7" s="12">
        <f>'PANW'!E9</f>
        <v/>
      </c>
      <c r="F7" s="12">
        <f>'PANW'!F9</f>
        <v/>
      </c>
      <c r="G7" s="12">
        <f>'PANW'!G9</f>
        <v/>
      </c>
      <c r="H7" s="13">
        <f>'PANW'!H9</f>
        <v/>
      </c>
      <c r="I7" s="11">
        <f>'PANW'!I9</f>
        <v/>
      </c>
      <c r="J7" s="12">
        <f>'PANW'!J9</f>
        <v/>
      </c>
      <c r="K7" s="12">
        <f>'PANW'!K9</f>
        <v/>
      </c>
      <c r="L7" s="12">
        <f>'PANW'!L9</f>
        <v/>
      </c>
      <c r="M7" s="13">
        <f>'PANW'!M9</f>
        <v/>
      </c>
      <c r="N7" s="11">
        <f>'PANW'!N9</f>
        <v/>
      </c>
      <c r="O7" s="12">
        <f>'PANW'!O9</f>
        <v/>
      </c>
      <c r="P7" s="12">
        <f>'PANW'!P9</f>
        <v/>
      </c>
      <c r="Q7" s="12">
        <f>'PANW'!Q9</f>
        <v/>
      </c>
      <c r="R7" s="13">
        <f>'PANW'!R9</f>
        <v/>
      </c>
      <c r="S7" s="11">
        <f>'PANW'!S9</f>
        <v/>
      </c>
      <c r="T7" s="12">
        <f>'PANW'!T9</f>
        <v/>
      </c>
      <c r="U7" s="12">
        <f>'PANW'!U9</f>
        <v/>
      </c>
      <c r="V7" s="12">
        <f>'PANW'!V9</f>
        <v/>
      </c>
      <c r="W7" s="13">
        <f>'PANW'!W9</f>
        <v/>
      </c>
      <c r="X7" s="11">
        <f>'PANW'!X9</f>
        <v/>
      </c>
      <c r="Z7" s="12">
        <f>'PANW'!P23</f>
        <v/>
      </c>
      <c r="AA7" s="12">
        <f>'PANW'!P15</f>
        <v/>
      </c>
      <c r="AB7" s="14">
        <f>IFERROR((Z7-AA7)/AA7,"-")</f>
        <v/>
      </c>
    </row>
    <row r="8">
      <c r="A8" s="9" t="inlineStr">
        <is>
          <t>WDAY</t>
        </is>
      </c>
      <c r="B8" s="10" t="n">
        <v>0.0046</v>
      </c>
      <c r="C8" s="9" t="inlineStr">
        <is>
          <t>STABLE</t>
        </is>
      </c>
      <c r="D8" s="11">
        <f>'WDAY'!D9</f>
        <v/>
      </c>
      <c r="E8" s="12">
        <f>'WDAY'!E9</f>
        <v/>
      </c>
      <c r="F8" s="12">
        <f>'WDAY'!F9</f>
        <v/>
      </c>
      <c r="G8" s="12">
        <f>'WDAY'!G9</f>
        <v/>
      </c>
      <c r="H8" s="13">
        <f>'WDAY'!H9</f>
        <v/>
      </c>
      <c r="I8" s="11">
        <f>'WDAY'!I9</f>
        <v/>
      </c>
      <c r="J8" s="12">
        <f>'WDAY'!J9</f>
        <v/>
      </c>
      <c r="K8" s="12">
        <f>'WDAY'!K9</f>
        <v/>
      </c>
      <c r="L8" s="12">
        <f>'WDAY'!L9</f>
        <v/>
      </c>
      <c r="M8" s="13">
        <f>'WDAY'!M9</f>
        <v/>
      </c>
      <c r="N8" s="11">
        <f>'WDAY'!N9</f>
        <v/>
      </c>
      <c r="O8" s="12">
        <f>'WDAY'!O9</f>
        <v/>
      </c>
      <c r="P8" s="12">
        <f>'WDAY'!P9</f>
        <v/>
      </c>
      <c r="Q8" s="12">
        <f>'WDAY'!Q9</f>
        <v/>
      </c>
      <c r="R8" s="13">
        <f>'WDAY'!R9</f>
        <v/>
      </c>
      <c r="S8" s="11">
        <f>'WDAY'!S9</f>
        <v/>
      </c>
      <c r="T8" s="12">
        <f>'WDAY'!T9</f>
        <v/>
      </c>
      <c r="U8" s="12">
        <f>'WDAY'!U9</f>
        <v/>
      </c>
      <c r="V8" s="12">
        <f>'WDAY'!V9</f>
        <v/>
      </c>
      <c r="W8" s="13">
        <f>'WDAY'!W9</f>
        <v/>
      </c>
      <c r="X8" s="11">
        <f>'WDAY'!X9</f>
        <v/>
      </c>
      <c r="Z8" s="12">
        <f>'WDAY'!P23</f>
        <v/>
      </c>
      <c r="AA8" s="12">
        <f>'WDAY'!P15</f>
        <v/>
      </c>
      <c r="AB8" s="14">
        <f>IFERROR((Z8-AA8)/AA8,"-")</f>
        <v/>
      </c>
    </row>
    <row r="9">
      <c r="A9" s="9" t="inlineStr">
        <is>
          <t>SNPS</t>
        </is>
      </c>
      <c r="B9" s="10" t="n">
        <v>0.002</v>
      </c>
      <c r="C9" s="9" t="inlineStr">
        <is>
          <t>STABLE</t>
        </is>
      </c>
      <c r="D9" s="11">
        <f>'SNPS'!D9</f>
        <v/>
      </c>
      <c r="E9" s="12">
        <f>'SNPS'!E9</f>
        <v/>
      </c>
      <c r="F9" s="12">
        <f>'SNPS'!F9</f>
        <v/>
      </c>
      <c r="G9" s="12">
        <f>'SNPS'!G9</f>
        <v/>
      </c>
      <c r="H9" s="13">
        <f>'SNPS'!H9</f>
        <v/>
      </c>
      <c r="I9" s="11">
        <f>'SNPS'!I9</f>
        <v/>
      </c>
      <c r="J9" s="12">
        <f>'SNPS'!J9</f>
        <v/>
      </c>
      <c r="K9" s="12">
        <f>'SNPS'!K9</f>
        <v/>
      </c>
      <c r="L9" s="12">
        <f>'SNPS'!L9</f>
        <v/>
      </c>
      <c r="M9" s="13">
        <f>'SNPS'!M9</f>
        <v/>
      </c>
      <c r="N9" s="11">
        <f>'SNPS'!N9</f>
        <v/>
      </c>
      <c r="O9" s="12">
        <f>'SNPS'!O9</f>
        <v/>
      </c>
      <c r="P9" s="12">
        <f>'SNPS'!P9</f>
        <v/>
      </c>
      <c r="Q9" s="12">
        <f>'SNPS'!Q9</f>
        <v/>
      </c>
      <c r="R9" s="13">
        <f>'SNPS'!R9</f>
        <v/>
      </c>
      <c r="S9" s="11">
        <f>'SNPS'!S9</f>
        <v/>
      </c>
      <c r="T9" s="12">
        <f>'SNPS'!T9</f>
        <v/>
      </c>
      <c r="U9" s="12">
        <f>'SNPS'!U9</f>
        <v/>
      </c>
      <c r="V9" s="12">
        <f>'SNPS'!V9</f>
        <v/>
      </c>
      <c r="W9" s="13">
        <f>'SNPS'!W9</f>
        <v/>
      </c>
      <c r="X9" s="11">
        <f>'SNPS'!X9</f>
        <v/>
      </c>
      <c r="Z9" s="12">
        <f>'SNPS'!P23</f>
        <v/>
      </c>
      <c r="AA9" s="12">
        <f>'SNPS'!P15</f>
        <v/>
      </c>
      <c r="AB9" s="14">
        <f>IFERROR((Z9-AA9)/AA9,"-")</f>
        <v/>
      </c>
    </row>
    <row r="10">
      <c r="A10" s="9" t="inlineStr">
        <is>
          <t>ROP</t>
        </is>
      </c>
      <c r="B10" s="10" t="n">
        <v>-0.0012</v>
      </c>
      <c r="C10" s="9" t="inlineStr">
        <is>
          <t>STABLE</t>
        </is>
      </c>
      <c r="D10" s="11">
        <f>'ROP'!D9</f>
        <v/>
      </c>
      <c r="E10" s="12">
        <f>'ROP'!E9</f>
        <v/>
      </c>
      <c r="F10" s="12">
        <f>'ROP'!F9</f>
        <v/>
      </c>
      <c r="G10" s="12">
        <f>'ROP'!G9</f>
        <v/>
      </c>
      <c r="H10" s="13">
        <f>'ROP'!H9</f>
        <v/>
      </c>
      <c r="I10" s="11">
        <f>'ROP'!I9</f>
        <v/>
      </c>
      <c r="J10" s="12">
        <f>'ROP'!J9</f>
        <v/>
      </c>
      <c r="K10" s="12">
        <f>'ROP'!K9</f>
        <v/>
      </c>
      <c r="L10" s="12">
        <f>'ROP'!L9</f>
        <v/>
      </c>
      <c r="M10" s="13">
        <f>'ROP'!M9</f>
        <v/>
      </c>
      <c r="N10" s="11">
        <f>'ROP'!N9</f>
        <v/>
      </c>
      <c r="O10" s="12">
        <f>'ROP'!O9</f>
        <v/>
      </c>
      <c r="P10" s="12">
        <f>'ROP'!P9</f>
        <v/>
      </c>
      <c r="Q10" s="12">
        <f>'ROP'!Q9</f>
        <v/>
      </c>
      <c r="R10" s="13">
        <f>'ROP'!R9</f>
        <v/>
      </c>
      <c r="S10" s="11">
        <f>'ROP'!S9</f>
        <v/>
      </c>
      <c r="T10" s="12">
        <f>'ROP'!T9</f>
        <v/>
      </c>
      <c r="U10" s="12">
        <f>'ROP'!U9</f>
        <v/>
      </c>
      <c r="V10" s="12">
        <f>'ROP'!V9</f>
        <v/>
      </c>
      <c r="W10" s="13">
        <f>'ROP'!W9</f>
        <v/>
      </c>
      <c r="X10" s="7" t="n"/>
      <c r="Z10" s="12">
        <f>'ROP'!O23</f>
        <v/>
      </c>
      <c r="AA10" s="12">
        <f>'ROP'!O15</f>
        <v/>
      </c>
      <c r="AB10" s="14">
        <f>IFERROR((Z10-AA10)/AA10,"-")</f>
        <v/>
      </c>
    </row>
    <row r="11">
      <c r="A11" s="9" t="inlineStr">
        <is>
          <t>ADSK</t>
        </is>
      </c>
      <c r="B11" s="10" t="n">
        <v>0.0204</v>
      </c>
      <c r="C11" s="9" t="inlineStr">
        <is>
          <t>STABLE</t>
        </is>
      </c>
      <c r="D11" s="11">
        <f>'ADSK'!D9</f>
        <v/>
      </c>
      <c r="E11" s="12">
        <f>'ADSK'!E9</f>
        <v/>
      </c>
      <c r="F11" s="12">
        <f>'ADSK'!F9</f>
        <v/>
      </c>
      <c r="G11" s="12">
        <f>'ADSK'!G9</f>
        <v/>
      </c>
      <c r="H11" s="13">
        <f>'ADSK'!H9</f>
        <v/>
      </c>
      <c r="I11" s="11">
        <f>'ADSK'!I9</f>
        <v/>
      </c>
      <c r="J11" s="12">
        <f>'ADSK'!J9</f>
        <v/>
      </c>
      <c r="K11" s="12">
        <f>'ADSK'!K9</f>
        <v/>
      </c>
      <c r="L11" s="12">
        <f>'ADSK'!L9</f>
        <v/>
      </c>
      <c r="M11" s="13">
        <f>'ADSK'!M9</f>
        <v/>
      </c>
      <c r="N11" s="11">
        <f>'ADSK'!N9</f>
        <v/>
      </c>
      <c r="O11" s="12">
        <f>'ADSK'!O9</f>
        <v/>
      </c>
      <c r="P11" s="12">
        <f>'ADSK'!P9</f>
        <v/>
      </c>
      <c r="Q11" s="12">
        <f>'ADSK'!Q9</f>
        <v/>
      </c>
      <c r="R11" s="13">
        <f>'ADSK'!R9</f>
        <v/>
      </c>
      <c r="S11" s="11">
        <f>'ADSK'!S9</f>
        <v/>
      </c>
      <c r="T11" s="12">
        <f>'ADSK'!T9</f>
        <v/>
      </c>
      <c r="U11" s="12">
        <f>'ADSK'!U9</f>
        <v/>
      </c>
      <c r="V11" s="12">
        <f>'ADSK'!V9</f>
        <v/>
      </c>
      <c r="W11" s="13">
        <f>'ADSK'!W9</f>
        <v/>
      </c>
      <c r="X11" s="11">
        <f>'ADSK'!X9</f>
        <v/>
      </c>
      <c r="Z11" s="12">
        <f>'ADSK'!P23</f>
        <v/>
      </c>
      <c r="AA11" s="12">
        <f>'ADSK'!P15</f>
        <v/>
      </c>
      <c r="AB11" s="14">
        <f>IFERROR((Z11-AA11)/AA11,"-")</f>
        <v/>
      </c>
    </row>
    <row r="12">
      <c r="A12" s="9" t="inlineStr">
        <is>
          <t>FTNT</t>
        </is>
      </c>
      <c r="B12" s="10" t="n">
        <v>0.0101</v>
      </c>
      <c r="C12" s="15" t="inlineStr">
        <is>
          <t>ACCELERATING</t>
        </is>
      </c>
      <c r="D12" s="11">
        <f>'FTNT'!D9</f>
        <v/>
      </c>
      <c r="E12" s="12">
        <f>'FTNT'!E9</f>
        <v/>
      </c>
      <c r="F12" s="12">
        <f>'FTNT'!F9</f>
        <v/>
      </c>
      <c r="G12" s="12">
        <f>'FTNT'!G9</f>
        <v/>
      </c>
      <c r="H12" s="13">
        <f>'FTNT'!H9</f>
        <v/>
      </c>
      <c r="I12" s="11">
        <f>'FTNT'!I9</f>
        <v/>
      </c>
      <c r="J12" s="12">
        <f>'FTNT'!J9</f>
        <v/>
      </c>
      <c r="K12" s="12">
        <f>'FTNT'!K9</f>
        <v/>
      </c>
      <c r="L12" s="12">
        <f>'FTNT'!L9</f>
        <v/>
      </c>
      <c r="M12" s="13">
        <f>'FTNT'!M9</f>
        <v/>
      </c>
      <c r="N12" s="11">
        <f>'FTNT'!N9</f>
        <v/>
      </c>
      <c r="O12" s="12">
        <f>'FTNT'!O9</f>
        <v/>
      </c>
      <c r="P12" s="12">
        <f>'FTNT'!P9</f>
        <v/>
      </c>
      <c r="Q12" s="12">
        <f>'FTNT'!Q9</f>
        <v/>
      </c>
      <c r="R12" s="13">
        <f>'FTNT'!R9</f>
        <v/>
      </c>
      <c r="S12" s="11">
        <f>'FTNT'!S9</f>
        <v/>
      </c>
      <c r="T12" s="12">
        <f>'FTNT'!T9</f>
        <v/>
      </c>
      <c r="U12" s="12">
        <f>'FTNT'!U9</f>
        <v/>
      </c>
      <c r="V12" s="12">
        <f>'FTNT'!V9</f>
        <v/>
      </c>
      <c r="W12" s="13">
        <f>'FTNT'!W9</f>
        <v/>
      </c>
      <c r="X12" s="7" t="n"/>
      <c r="Z12" s="12">
        <f>'FTNT'!O23</f>
        <v/>
      </c>
      <c r="AA12" s="12">
        <f>'FTNT'!O15</f>
        <v/>
      </c>
      <c r="AB12" s="14">
        <f>IFERROR((Z12-AA12)/AA12,"-")</f>
        <v/>
      </c>
    </row>
    <row r="13">
      <c r="A13" s="9" t="inlineStr">
        <is>
          <t>TOST</t>
        </is>
      </c>
      <c r="B13" s="10" t="n">
        <v>0.0156</v>
      </c>
      <c r="C13" s="16" t="inlineStr">
        <is>
          <t>DECELERATING</t>
        </is>
      </c>
      <c r="D13" s="11">
        <f>'TOST'!D9</f>
        <v/>
      </c>
      <c r="E13" s="12">
        <f>'TOST'!E9</f>
        <v/>
      </c>
      <c r="F13" s="12">
        <f>'TOST'!F9</f>
        <v/>
      </c>
      <c r="G13" s="12">
        <f>'TOST'!G9</f>
        <v/>
      </c>
      <c r="H13" s="13">
        <f>'TOST'!H9</f>
        <v/>
      </c>
      <c r="I13" s="11">
        <f>'TOST'!I9</f>
        <v/>
      </c>
      <c r="J13" s="12">
        <f>'TOST'!J9</f>
        <v/>
      </c>
      <c r="K13" s="12">
        <f>'TOST'!K9</f>
        <v/>
      </c>
      <c r="L13" s="12">
        <f>'TOST'!L9</f>
        <v/>
      </c>
      <c r="M13" s="13">
        <f>'TOST'!M9</f>
        <v/>
      </c>
      <c r="N13" s="11">
        <f>'TOST'!N9</f>
        <v/>
      </c>
      <c r="O13" s="12">
        <f>'TOST'!O9</f>
        <v/>
      </c>
      <c r="P13" s="12">
        <f>'TOST'!P9</f>
        <v/>
      </c>
      <c r="Q13" s="12">
        <f>'TOST'!Q9</f>
        <v/>
      </c>
      <c r="R13" s="13">
        <f>'TOST'!R9</f>
        <v/>
      </c>
      <c r="S13" s="11">
        <f>'TOST'!S9</f>
        <v/>
      </c>
      <c r="T13" s="12">
        <f>'TOST'!T9</f>
        <v/>
      </c>
      <c r="U13" s="12">
        <f>'TOST'!U9</f>
        <v/>
      </c>
      <c r="V13" s="12">
        <f>'TOST'!V9</f>
        <v/>
      </c>
      <c r="W13" s="13">
        <f>'TOST'!W9</f>
        <v/>
      </c>
      <c r="X13" s="7" t="n"/>
      <c r="Z13" s="12">
        <f>'TOST'!O23</f>
        <v/>
      </c>
      <c r="AA13" s="12">
        <f>'TOST'!O15</f>
        <v/>
      </c>
      <c r="AB13" s="14">
        <f>IFERROR((Z13-AA13)/AA13,"-")</f>
        <v/>
      </c>
    </row>
    <row r="14">
      <c r="A14" s="9" t="inlineStr">
        <is>
          <t>TEAM</t>
        </is>
      </c>
      <c r="B14" s="10" t="n">
        <v>0.0159</v>
      </c>
      <c r="C14" s="15" t="inlineStr">
        <is>
          <t>ACCELERATING</t>
        </is>
      </c>
      <c r="D14" s="11">
        <f>'TEAM'!D9</f>
        <v/>
      </c>
      <c r="E14" s="12">
        <f>'TEAM'!E9</f>
        <v/>
      </c>
      <c r="F14" s="12">
        <f>'TEAM'!F9</f>
        <v/>
      </c>
      <c r="G14" s="12">
        <f>'TEAM'!G9</f>
        <v/>
      </c>
      <c r="H14" s="13">
        <f>'TEAM'!H9</f>
        <v/>
      </c>
      <c r="I14" s="11">
        <f>'TEAM'!I9</f>
        <v/>
      </c>
      <c r="J14" s="12">
        <f>'TEAM'!J9</f>
        <v/>
      </c>
      <c r="K14" s="12">
        <f>'TEAM'!K9</f>
        <v/>
      </c>
      <c r="L14" s="12">
        <f>'TEAM'!L9</f>
        <v/>
      </c>
      <c r="M14" s="13">
        <f>'TEAM'!M9</f>
        <v/>
      </c>
      <c r="N14" s="11">
        <f>'TEAM'!N9</f>
        <v/>
      </c>
      <c r="O14" s="12">
        <f>'TEAM'!O9</f>
        <v/>
      </c>
      <c r="P14" s="12">
        <f>'TEAM'!P9</f>
        <v/>
      </c>
      <c r="Q14" s="12">
        <f>'TEAM'!Q9</f>
        <v/>
      </c>
      <c r="R14" s="13">
        <f>'TEAM'!R9</f>
        <v/>
      </c>
      <c r="S14" s="11">
        <f>'TEAM'!S9</f>
        <v/>
      </c>
      <c r="T14" s="12">
        <f>'TEAM'!T9</f>
        <v/>
      </c>
      <c r="U14" s="12">
        <f>'TEAM'!U9</f>
        <v/>
      </c>
      <c r="V14" s="12">
        <f>'TEAM'!V9</f>
        <v/>
      </c>
      <c r="W14" s="13">
        <f>'TEAM'!W9</f>
        <v/>
      </c>
      <c r="X14" s="7" t="n"/>
      <c r="Z14" s="12">
        <f>'TEAM'!O23</f>
        <v/>
      </c>
      <c r="AA14" s="12">
        <f>'TEAM'!O15</f>
        <v/>
      </c>
      <c r="AB14" s="14">
        <f>IFERROR((Z14-AA14)/AA14,"-")</f>
        <v/>
      </c>
    </row>
    <row r="15">
      <c r="A15" s="9" t="inlineStr">
        <is>
          <t>APP</t>
        </is>
      </c>
      <c r="B15" s="10" t="n">
        <v>0.0445</v>
      </c>
      <c r="C15" s="9" t="inlineStr">
        <is>
          <t>STABLE</t>
        </is>
      </c>
      <c r="D15" s="11">
        <f>'APP'!D9</f>
        <v/>
      </c>
      <c r="E15" s="12">
        <f>'APP'!E9</f>
        <v/>
      </c>
      <c r="F15" s="12">
        <f>'APP'!F9</f>
        <v/>
      </c>
      <c r="G15" s="12">
        <f>'APP'!G9</f>
        <v/>
      </c>
      <c r="H15" s="13">
        <f>'APP'!H9</f>
        <v/>
      </c>
      <c r="I15" s="11">
        <f>'APP'!I9</f>
        <v/>
      </c>
      <c r="J15" s="12">
        <f>'APP'!J9</f>
        <v/>
      </c>
      <c r="K15" s="12">
        <f>'APP'!K9</f>
        <v/>
      </c>
      <c r="L15" s="12">
        <f>'APP'!L9</f>
        <v/>
      </c>
      <c r="M15" s="13">
        <f>'APP'!M9</f>
        <v/>
      </c>
      <c r="N15" s="11">
        <f>'APP'!N9</f>
        <v/>
      </c>
      <c r="O15" s="12">
        <f>'APP'!O9</f>
        <v/>
      </c>
      <c r="P15" s="12">
        <f>'APP'!P9</f>
        <v/>
      </c>
      <c r="Q15" s="12">
        <f>'APP'!Q9</f>
        <v/>
      </c>
      <c r="R15" s="13">
        <f>'APP'!R9</f>
        <v/>
      </c>
      <c r="S15" s="11">
        <f>'APP'!S9</f>
        <v/>
      </c>
      <c r="T15" s="12">
        <f>'APP'!T9</f>
        <v/>
      </c>
      <c r="U15" s="12">
        <f>'APP'!U9</f>
        <v/>
      </c>
      <c r="V15" s="12">
        <f>'APP'!V9</f>
        <v/>
      </c>
      <c r="W15" s="13">
        <f>'APP'!W9</f>
        <v/>
      </c>
      <c r="X15" s="7" t="n"/>
      <c r="Z15" s="12">
        <f>'APP'!O23</f>
        <v/>
      </c>
      <c r="AA15" s="12">
        <f>'APP'!O15</f>
        <v/>
      </c>
      <c r="AB15" s="14">
        <f>IFERROR((Z15-AA15)/AA15,"-")</f>
        <v/>
      </c>
    </row>
    <row r="16">
      <c r="A16" s="9" t="inlineStr">
        <is>
          <t>CDNS</t>
        </is>
      </c>
      <c r="B16" s="10" t="n">
        <v>0.0115</v>
      </c>
      <c r="C16" s="15" t="inlineStr">
        <is>
          <t>ACCELERATING</t>
        </is>
      </c>
      <c r="D16" s="11">
        <f>'CDNS'!D9</f>
        <v/>
      </c>
      <c r="E16" s="12">
        <f>'CDNS'!E9</f>
        <v/>
      </c>
      <c r="F16" s="12">
        <f>'CDNS'!F9</f>
        <v/>
      </c>
      <c r="G16" s="12">
        <f>'CDNS'!G9</f>
        <v/>
      </c>
      <c r="H16" s="13">
        <f>'CDNS'!H9</f>
        <v/>
      </c>
      <c r="I16" s="11">
        <f>'CDNS'!I9</f>
        <v/>
      </c>
      <c r="J16" s="12">
        <f>'CDNS'!J9</f>
        <v/>
      </c>
      <c r="K16" s="12">
        <f>'CDNS'!K9</f>
        <v/>
      </c>
      <c r="L16" s="12">
        <f>'CDNS'!L9</f>
        <v/>
      </c>
      <c r="M16" s="13">
        <f>'CDNS'!M9</f>
        <v/>
      </c>
      <c r="N16" s="11">
        <f>'CDNS'!N9</f>
        <v/>
      </c>
      <c r="O16" s="12">
        <f>'CDNS'!O9</f>
        <v/>
      </c>
      <c r="P16" s="12">
        <f>'CDNS'!P9</f>
        <v/>
      </c>
      <c r="Q16" s="12">
        <f>'CDNS'!Q9</f>
        <v/>
      </c>
      <c r="R16" s="13">
        <f>'CDNS'!R9</f>
        <v/>
      </c>
      <c r="S16" s="11">
        <f>'CDNS'!S9</f>
        <v/>
      </c>
      <c r="T16" s="12">
        <f>'CDNS'!T9</f>
        <v/>
      </c>
      <c r="U16" s="12">
        <f>'CDNS'!U9</f>
        <v/>
      </c>
      <c r="V16" s="12">
        <f>'CDNS'!V9</f>
        <v/>
      </c>
      <c r="W16" s="13">
        <f>'CDNS'!W9</f>
        <v/>
      </c>
      <c r="X16" s="7" t="n"/>
      <c r="Z16" s="12">
        <f>'CDNS'!O23</f>
        <v/>
      </c>
      <c r="AA16" s="12">
        <f>'CDNS'!O15</f>
        <v/>
      </c>
      <c r="AB16" s="14">
        <f>IFERROR((Z16-AA16)/AA16,"-")</f>
        <v/>
      </c>
    </row>
    <row r="17">
      <c r="A17" s="9" t="inlineStr">
        <is>
          <t>CRWD</t>
        </is>
      </c>
      <c r="B17" s="10" t="n">
        <v>0.009399999999999999</v>
      </c>
      <c r="C17" s="9" t="inlineStr">
        <is>
          <t>STABLE</t>
        </is>
      </c>
      <c r="D17" s="11">
        <f>'CRWD'!D9</f>
        <v/>
      </c>
      <c r="E17" s="12">
        <f>'CRWD'!E9</f>
        <v/>
      </c>
      <c r="F17" s="12">
        <f>'CRWD'!F9</f>
        <v/>
      </c>
      <c r="G17" s="12">
        <f>'CRWD'!G9</f>
        <v/>
      </c>
      <c r="H17" s="13">
        <f>'CRWD'!H9</f>
        <v/>
      </c>
      <c r="I17" s="11">
        <f>'CRWD'!I9</f>
        <v/>
      </c>
      <c r="J17" s="12">
        <f>'CRWD'!J9</f>
        <v/>
      </c>
      <c r="K17" s="12">
        <f>'CRWD'!K9</f>
        <v/>
      </c>
      <c r="L17" s="12">
        <f>'CRWD'!L9</f>
        <v/>
      </c>
      <c r="M17" s="13">
        <f>'CRWD'!M9</f>
        <v/>
      </c>
      <c r="N17" s="11">
        <f>'CRWD'!N9</f>
        <v/>
      </c>
      <c r="O17" s="12">
        <f>'CRWD'!O9</f>
        <v/>
      </c>
      <c r="P17" s="12">
        <f>'CRWD'!P9</f>
        <v/>
      </c>
      <c r="Q17" s="12">
        <f>'CRWD'!Q9</f>
        <v/>
      </c>
      <c r="R17" s="13">
        <f>'CRWD'!R9</f>
        <v/>
      </c>
      <c r="S17" s="11">
        <f>'CRWD'!S9</f>
        <v/>
      </c>
      <c r="T17" s="12">
        <f>'CRWD'!T9</f>
        <v/>
      </c>
      <c r="U17" s="12">
        <f>'CRWD'!U9</f>
        <v/>
      </c>
      <c r="V17" s="12">
        <f>'CRWD'!V9</f>
        <v/>
      </c>
      <c r="W17" s="13">
        <f>'CRWD'!W9</f>
        <v/>
      </c>
      <c r="X17" s="11">
        <f>'CRWD'!X9</f>
        <v/>
      </c>
      <c r="Z17" s="12">
        <f>'CRWD'!P23</f>
        <v/>
      </c>
      <c r="AA17" s="12">
        <f>'CRWD'!P15</f>
        <v/>
      </c>
      <c r="AB17" s="14">
        <f>IFERROR((Z17-AA17)/AA17,"-")</f>
        <v/>
      </c>
    </row>
    <row r="18">
      <c r="A18" s="9" t="inlineStr">
        <is>
          <t>SNOW</t>
        </is>
      </c>
      <c r="B18" s="10" t="n">
        <v>0.0352</v>
      </c>
      <c r="C18" s="9" t="inlineStr">
        <is>
          <t>STABLE</t>
        </is>
      </c>
      <c r="D18" s="11">
        <f>'SNOW'!D9</f>
        <v/>
      </c>
      <c r="E18" s="12">
        <f>'SNOW'!E9</f>
        <v/>
      </c>
      <c r="F18" s="12">
        <f>'SNOW'!F9</f>
        <v/>
      </c>
      <c r="G18" s="12">
        <f>'SNOW'!G9</f>
        <v/>
      </c>
      <c r="H18" s="13">
        <f>'SNOW'!H9</f>
        <v/>
      </c>
      <c r="I18" s="11">
        <f>'SNOW'!I9</f>
        <v/>
      </c>
      <c r="J18" s="12">
        <f>'SNOW'!J9</f>
        <v/>
      </c>
      <c r="K18" s="12">
        <f>'SNOW'!K9</f>
        <v/>
      </c>
      <c r="L18" s="12">
        <f>'SNOW'!L9</f>
        <v/>
      </c>
      <c r="M18" s="13">
        <f>'SNOW'!M9</f>
        <v/>
      </c>
      <c r="N18" s="11">
        <f>'SNOW'!N9</f>
        <v/>
      </c>
      <c r="O18" s="12">
        <f>'SNOW'!O9</f>
        <v/>
      </c>
      <c r="P18" s="12">
        <f>'SNOW'!P9</f>
        <v/>
      </c>
      <c r="Q18" s="12">
        <f>'SNOW'!Q9</f>
        <v/>
      </c>
      <c r="R18" s="13">
        <f>'SNOW'!R9</f>
        <v/>
      </c>
      <c r="S18" s="11">
        <f>'SNOW'!S9</f>
        <v/>
      </c>
      <c r="T18" s="12">
        <f>'SNOW'!T9</f>
        <v/>
      </c>
      <c r="U18" s="12">
        <f>'SNOW'!U9</f>
        <v/>
      </c>
      <c r="V18" s="12">
        <f>'SNOW'!V9</f>
        <v/>
      </c>
      <c r="W18" s="13">
        <f>'SNOW'!W9</f>
        <v/>
      </c>
      <c r="X18" s="11">
        <f>'SNOW'!X9</f>
        <v/>
      </c>
      <c r="Z18" s="12">
        <f>'SNOW'!P23</f>
        <v/>
      </c>
      <c r="AA18" s="12">
        <f>'SNOW'!P15</f>
        <v/>
      </c>
      <c r="AB18" s="14">
        <f>IFERROR((Z18-AA18)/AA18,"-")</f>
        <v/>
      </c>
    </row>
    <row r="19">
      <c r="A19" s="9" t="inlineStr">
        <is>
          <t>PLTR</t>
        </is>
      </c>
      <c r="B19" s="10" t="n">
        <v>0.0566</v>
      </c>
      <c r="C19" s="15" t="inlineStr">
        <is>
          <t>ACCELERATING</t>
        </is>
      </c>
      <c r="D19" s="11">
        <f>'PLTR'!D9</f>
        <v/>
      </c>
      <c r="E19" s="12">
        <f>'PLTR'!E9</f>
        <v/>
      </c>
      <c r="F19" s="12">
        <f>'PLTR'!F9</f>
        <v/>
      </c>
      <c r="G19" s="12">
        <f>'PLTR'!G9</f>
        <v/>
      </c>
      <c r="H19" s="13">
        <f>'PLTR'!H9</f>
        <v/>
      </c>
      <c r="I19" s="11">
        <f>'PLTR'!I9</f>
        <v/>
      </c>
      <c r="J19" s="12">
        <f>'PLTR'!J9</f>
        <v/>
      </c>
      <c r="K19" s="12">
        <f>'PLTR'!K9</f>
        <v/>
      </c>
      <c r="L19" s="12">
        <f>'PLTR'!L9</f>
        <v/>
      </c>
      <c r="M19" s="13">
        <f>'PLTR'!M9</f>
        <v/>
      </c>
      <c r="N19" s="11">
        <f>'PLTR'!N9</f>
        <v/>
      </c>
      <c r="O19" s="12">
        <f>'PLTR'!O9</f>
        <v/>
      </c>
      <c r="P19" s="12">
        <f>'PLTR'!P9</f>
        <v/>
      </c>
      <c r="Q19" s="12">
        <f>'PLTR'!Q9</f>
        <v/>
      </c>
      <c r="R19" s="13">
        <f>'PLTR'!R9</f>
        <v/>
      </c>
      <c r="S19" s="11">
        <f>'PLTR'!S9</f>
        <v/>
      </c>
      <c r="T19" s="12">
        <f>'PLTR'!T9</f>
        <v/>
      </c>
      <c r="U19" s="12">
        <f>'PLTR'!U9</f>
        <v/>
      </c>
      <c r="V19" s="12">
        <f>'PLTR'!V9</f>
        <v/>
      </c>
      <c r="W19" s="13">
        <f>'PLTR'!W9</f>
        <v/>
      </c>
      <c r="X19" s="7" t="n"/>
      <c r="Z19" s="12">
        <f>'PLTR'!O23</f>
        <v/>
      </c>
      <c r="AA19" s="12">
        <f>'PLTR'!O15</f>
        <v/>
      </c>
      <c r="AB19" s="14">
        <f>IFERROR((Z19-AA19)/AA19,"-")</f>
        <v/>
      </c>
    </row>
    <row r="20">
      <c r="A20" s="9" t="inlineStr">
        <is>
          <t>DDOG</t>
        </is>
      </c>
      <c r="B20" s="10" t="n">
        <v>0.0349</v>
      </c>
      <c r="C20" s="9" t="inlineStr">
        <is>
          <t>STABLE</t>
        </is>
      </c>
      <c r="D20" s="11">
        <f>'DDOG'!D9</f>
        <v/>
      </c>
      <c r="E20" s="12">
        <f>'DDOG'!E9</f>
        <v/>
      </c>
      <c r="F20" s="12">
        <f>'DDOG'!F9</f>
        <v/>
      </c>
      <c r="G20" s="12">
        <f>'DDOG'!G9</f>
        <v/>
      </c>
      <c r="H20" s="13">
        <f>'DDOG'!H9</f>
        <v/>
      </c>
      <c r="I20" s="11">
        <f>'DDOG'!I9</f>
        <v/>
      </c>
      <c r="J20" s="12">
        <f>'DDOG'!J9</f>
        <v/>
      </c>
      <c r="K20" s="12">
        <f>'DDOG'!K9</f>
        <v/>
      </c>
      <c r="L20" s="12">
        <f>'DDOG'!L9</f>
        <v/>
      </c>
      <c r="M20" s="13">
        <f>'DDOG'!M9</f>
        <v/>
      </c>
      <c r="N20" s="11">
        <f>'DDOG'!N9</f>
        <v/>
      </c>
      <c r="O20" s="12">
        <f>'DDOG'!O9</f>
        <v/>
      </c>
      <c r="P20" s="12">
        <f>'DDOG'!P9</f>
        <v/>
      </c>
      <c r="Q20" s="12">
        <f>'DDOG'!Q9</f>
        <v/>
      </c>
      <c r="R20" s="13">
        <f>'DDOG'!R9</f>
        <v/>
      </c>
      <c r="S20" s="11">
        <f>'DDOG'!S9</f>
        <v/>
      </c>
      <c r="T20" s="12">
        <f>'DDOG'!T9</f>
        <v/>
      </c>
      <c r="U20" s="12">
        <f>'DDOG'!U9</f>
        <v/>
      </c>
      <c r="V20" s="12">
        <f>'DDOG'!V9</f>
        <v/>
      </c>
      <c r="W20" s="13">
        <f>'DDOG'!W9</f>
        <v/>
      </c>
      <c r="X20" s="7" t="n"/>
      <c r="Z20" s="12">
        <f>'DDOG'!O23</f>
        <v/>
      </c>
      <c r="AA20" s="12">
        <f>'DDOG'!O15</f>
        <v/>
      </c>
      <c r="AB20" s="14">
        <f>IFERROR((Z20-AA20)/AA20,"-")</f>
        <v/>
      </c>
    </row>
    <row r="21">
      <c r="A21" s="9" t="inlineStr">
        <is>
          <t>VEEV</t>
        </is>
      </c>
      <c r="B21" s="10" t="n">
        <v>0.0281</v>
      </c>
      <c r="C21" s="9" t="inlineStr">
        <is>
          <t>STABLE</t>
        </is>
      </c>
      <c r="D21" s="11">
        <f>'VEEV'!D9</f>
        <v/>
      </c>
      <c r="E21" s="12">
        <f>'VEEV'!E9</f>
        <v/>
      </c>
      <c r="F21" s="12">
        <f>'VEEV'!F9</f>
        <v/>
      </c>
      <c r="G21" s="12">
        <f>'VEEV'!G9</f>
        <v/>
      </c>
      <c r="H21" s="13">
        <f>'VEEV'!H9</f>
        <v/>
      </c>
      <c r="I21" s="11">
        <f>'VEEV'!I9</f>
        <v/>
      </c>
      <c r="J21" s="12">
        <f>'VEEV'!J9</f>
        <v/>
      </c>
      <c r="K21" s="12">
        <f>'VEEV'!K9</f>
        <v/>
      </c>
      <c r="L21" s="12">
        <f>'VEEV'!L9</f>
        <v/>
      </c>
      <c r="M21" s="13">
        <f>'VEEV'!M9</f>
        <v/>
      </c>
      <c r="N21" s="11">
        <f>'VEEV'!N9</f>
        <v/>
      </c>
      <c r="O21" s="12">
        <f>'VEEV'!O9</f>
        <v/>
      </c>
      <c r="P21" s="12">
        <f>'VEEV'!P9</f>
        <v/>
      </c>
      <c r="Q21" s="12">
        <f>'VEEV'!Q9</f>
        <v/>
      </c>
      <c r="R21" s="13">
        <f>'VEEV'!R9</f>
        <v/>
      </c>
      <c r="S21" s="11">
        <f>'VEEV'!S9</f>
        <v/>
      </c>
      <c r="T21" s="12">
        <f>'VEEV'!T9</f>
        <v/>
      </c>
      <c r="U21" s="12">
        <f>'VEEV'!U9</f>
        <v/>
      </c>
      <c r="V21" s="12">
        <f>'VEEV'!V9</f>
        <v/>
      </c>
      <c r="W21" s="13">
        <f>'VEEV'!W9</f>
        <v/>
      </c>
      <c r="X21" s="11">
        <f>'VEEV'!X9</f>
        <v/>
      </c>
      <c r="Z21" s="12">
        <f>'VEEV'!P23</f>
        <v/>
      </c>
      <c r="AA21" s="12">
        <f>'VEEV'!P15</f>
        <v/>
      </c>
      <c r="AB21" s="14">
        <f>IFERROR((Z21-AA21)/AA21,"-")</f>
        <v/>
      </c>
    </row>
    <row r="22">
      <c r="A22" s="9" t="inlineStr">
        <is>
          <t>HUBS</t>
        </is>
      </c>
      <c r="B22" s="10" t="n">
        <v>0.0238</v>
      </c>
      <c r="C22" s="9" t="inlineStr">
        <is>
          <t>STABLE</t>
        </is>
      </c>
      <c r="D22" s="11">
        <f>'HUBS'!D9</f>
        <v/>
      </c>
      <c r="E22" s="12">
        <f>'HUBS'!E9</f>
        <v/>
      </c>
      <c r="F22" s="12">
        <f>'HUBS'!F9</f>
        <v/>
      </c>
      <c r="G22" s="12">
        <f>'HUBS'!G9</f>
        <v/>
      </c>
      <c r="H22" s="13">
        <f>'HUBS'!H9</f>
        <v/>
      </c>
      <c r="I22" s="11">
        <f>'HUBS'!I9</f>
        <v/>
      </c>
      <c r="J22" s="12">
        <f>'HUBS'!J9</f>
        <v/>
      </c>
      <c r="K22" s="12">
        <f>'HUBS'!K9</f>
        <v/>
      </c>
      <c r="L22" s="12">
        <f>'HUBS'!L9</f>
        <v/>
      </c>
      <c r="M22" s="13">
        <f>'HUBS'!M9</f>
        <v/>
      </c>
      <c r="N22" s="11">
        <f>'HUBS'!N9</f>
        <v/>
      </c>
      <c r="O22" s="12">
        <f>'HUBS'!O9</f>
        <v/>
      </c>
      <c r="P22" s="12">
        <f>'HUBS'!P9</f>
        <v/>
      </c>
      <c r="Q22" s="12">
        <f>'HUBS'!Q9</f>
        <v/>
      </c>
      <c r="R22" s="13">
        <f>'HUBS'!R9</f>
        <v/>
      </c>
      <c r="S22" s="11">
        <f>'HUBS'!S9</f>
        <v/>
      </c>
      <c r="T22" s="12">
        <f>'HUBS'!T9</f>
        <v/>
      </c>
      <c r="U22" s="12">
        <f>'HUBS'!U9</f>
        <v/>
      </c>
      <c r="V22" s="12">
        <f>'HUBS'!V9</f>
        <v/>
      </c>
      <c r="W22" s="13">
        <f>'HUBS'!W9</f>
        <v/>
      </c>
      <c r="X22" s="7" t="n"/>
      <c r="Z22" s="12">
        <f>'HUBS'!O23</f>
        <v/>
      </c>
      <c r="AA22" s="12">
        <f>'HUBS'!O15</f>
        <v/>
      </c>
      <c r="AB22" s="14">
        <f>IFERROR((Z22-AA22)/AA22,"-")</f>
        <v/>
      </c>
    </row>
    <row r="23">
      <c r="A23" s="9" t="inlineStr">
        <is>
          <t>ZS</t>
        </is>
      </c>
      <c r="B23" s="10" t="n">
        <v>0.019</v>
      </c>
      <c r="C23" s="9" t="inlineStr">
        <is>
          <t>STABLE</t>
        </is>
      </c>
      <c r="D23" s="11">
        <f>'ZS'!D9</f>
        <v/>
      </c>
      <c r="E23" s="12">
        <f>'ZS'!E9</f>
        <v/>
      </c>
      <c r="F23" s="12">
        <f>'ZS'!F9</f>
        <v/>
      </c>
      <c r="G23" s="12">
        <f>'ZS'!G9</f>
        <v/>
      </c>
      <c r="H23" s="13">
        <f>'ZS'!H9</f>
        <v/>
      </c>
      <c r="I23" s="11">
        <f>'ZS'!I9</f>
        <v/>
      </c>
      <c r="J23" s="12">
        <f>'ZS'!J9</f>
        <v/>
      </c>
      <c r="K23" s="12">
        <f>'ZS'!K9</f>
        <v/>
      </c>
      <c r="L23" s="12">
        <f>'ZS'!L9</f>
        <v/>
      </c>
      <c r="M23" s="13">
        <f>'ZS'!M9</f>
        <v/>
      </c>
      <c r="N23" s="11">
        <f>'ZS'!N9</f>
        <v/>
      </c>
      <c r="O23" s="12">
        <f>'ZS'!O9</f>
        <v/>
      </c>
      <c r="P23" s="12">
        <f>'ZS'!P9</f>
        <v/>
      </c>
      <c r="Q23" s="12">
        <f>'ZS'!Q9</f>
        <v/>
      </c>
      <c r="R23" s="13">
        <f>'ZS'!R9</f>
        <v/>
      </c>
      <c r="S23" s="11">
        <f>'ZS'!S9</f>
        <v/>
      </c>
      <c r="T23" s="12">
        <f>'ZS'!T9</f>
        <v/>
      </c>
      <c r="U23" s="12">
        <f>'ZS'!U9</f>
        <v/>
      </c>
      <c r="V23" s="12">
        <f>'ZS'!V9</f>
        <v/>
      </c>
      <c r="W23" s="13">
        <f>'ZS'!W9</f>
        <v/>
      </c>
      <c r="X23" s="11">
        <f>'ZS'!X9</f>
        <v/>
      </c>
      <c r="Z23" s="12">
        <f>'ZS'!P23</f>
        <v/>
      </c>
      <c r="AA23" s="12">
        <f>'ZS'!P15</f>
        <v/>
      </c>
      <c r="AB23" s="14">
        <f>IFERROR((Z23-AA23)/AA23,"-")</f>
        <v/>
      </c>
    </row>
    <row r="24">
      <c r="A24" s="9" t="inlineStr">
        <is>
          <t>OKTA</t>
        </is>
      </c>
      <c r="B24" s="10" t="n">
        <v>0.0187</v>
      </c>
      <c r="C24" s="9" t="inlineStr">
        <is>
          <t>STABLE</t>
        </is>
      </c>
      <c r="D24" s="11">
        <f>'OKTA'!D9</f>
        <v/>
      </c>
      <c r="E24" s="12">
        <f>'OKTA'!E9</f>
        <v/>
      </c>
      <c r="F24" s="12">
        <f>'OKTA'!F9</f>
        <v/>
      </c>
      <c r="G24" s="12">
        <f>'OKTA'!G9</f>
        <v/>
      </c>
      <c r="H24" s="13">
        <f>'OKTA'!H9</f>
        <v/>
      </c>
      <c r="I24" s="11">
        <f>'OKTA'!I9</f>
        <v/>
      </c>
      <c r="J24" s="12">
        <f>'OKTA'!J9</f>
        <v/>
      </c>
      <c r="K24" s="12">
        <f>'OKTA'!K9</f>
        <v/>
      </c>
      <c r="L24" s="12">
        <f>'OKTA'!L9</f>
        <v/>
      </c>
      <c r="M24" s="13">
        <f>'OKTA'!M9</f>
        <v/>
      </c>
      <c r="N24" s="11">
        <f>'OKTA'!N9</f>
        <v/>
      </c>
      <c r="O24" s="12">
        <f>'OKTA'!O9</f>
        <v/>
      </c>
      <c r="P24" s="12">
        <f>'OKTA'!P9</f>
        <v/>
      </c>
      <c r="Q24" s="12">
        <f>'OKTA'!Q9</f>
        <v/>
      </c>
      <c r="R24" s="13">
        <f>'OKTA'!R9</f>
        <v/>
      </c>
      <c r="S24" s="11">
        <f>'OKTA'!S9</f>
        <v/>
      </c>
      <c r="T24" s="12">
        <f>'OKTA'!T9</f>
        <v/>
      </c>
      <c r="U24" s="12">
        <f>'OKTA'!U9</f>
        <v/>
      </c>
      <c r="V24" s="12">
        <f>'OKTA'!V9</f>
        <v/>
      </c>
      <c r="W24" s="13">
        <f>'OKTA'!W9</f>
        <v/>
      </c>
      <c r="X24" s="11">
        <f>'OKTA'!X9</f>
        <v/>
      </c>
      <c r="Z24" s="12">
        <f>'OKTA'!P23</f>
        <v/>
      </c>
      <c r="AA24" s="12">
        <f>'OKTA'!P15</f>
        <v/>
      </c>
      <c r="AB24" s="14">
        <f>IFERROR((Z24-AA24)/AA24,"-")</f>
        <v/>
      </c>
    </row>
    <row r="25">
      <c r="A25" s="9" t="inlineStr">
        <is>
          <t>TTD</t>
        </is>
      </c>
      <c r="B25" s="10" t="n">
        <v>0.0178</v>
      </c>
      <c r="C25" s="9" t="inlineStr">
        <is>
          <t>STABLE</t>
        </is>
      </c>
      <c r="D25" s="11">
        <f>'TTD'!D9</f>
        <v/>
      </c>
      <c r="E25" s="12">
        <f>'TTD'!E9</f>
        <v/>
      </c>
      <c r="F25" s="12">
        <f>'TTD'!F9</f>
        <v/>
      </c>
      <c r="G25" s="12">
        <f>'TTD'!G9</f>
        <v/>
      </c>
      <c r="H25" s="13">
        <f>'TTD'!H9</f>
        <v/>
      </c>
      <c r="I25" s="11">
        <f>'TTD'!I9</f>
        <v/>
      </c>
      <c r="J25" s="12">
        <f>'TTD'!J9</f>
        <v/>
      </c>
      <c r="K25" s="12">
        <f>'TTD'!K9</f>
        <v/>
      </c>
      <c r="L25" s="12">
        <f>'TTD'!L9</f>
        <v/>
      </c>
      <c r="M25" s="13">
        <f>'TTD'!M9</f>
        <v/>
      </c>
      <c r="N25" s="11">
        <f>'TTD'!N9</f>
        <v/>
      </c>
      <c r="O25" s="12">
        <f>'TTD'!O9</f>
        <v/>
      </c>
      <c r="P25" s="12">
        <f>'TTD'!P9</f>
        <v/>
      </c>
      <c r="Q25" s="12">
        <f>'TTD'!Q9</f>
        <v/>
      </c>
      <c r="R25" s="13">
        <f>'TTD'!R9</f>
        <v/>
      </c>
      <c r="S25" s="11">
        <f>'TTD'!S9</f>
        <v/>
      </c>
      <c r="T25" s="12">
        <f>'TTD'!T9</f>
        <v/>
      </c>
      <c r="U25" s="12">
        <f>'TTD'!U9</f>
        <v/>
      </c>
      <c r="V25" s="12">
        <f>'TTD'!V9</f>
        <v/>
      </c>
      <c r="W25" s="13">
        <f>'TTD'!W9</f>
        <v/>
      </c>
      <c r="X25" s="7" t="n"/>
      <c r="Z25" s="12">
        <f>'TTD'!O23</f>
        <v/>
      </c>
      <c r="AA25" s="12">
        <f>'TTD'!O15</f>
        <v/>
      </c>
      <c r="AB25" s="14">
        <f>IFERROR((Z25-AA25)/AA25,"-")</f>
        <v/>
      </c>
    </row>
    <row r="26">
      <c r="A26" s="9" t="inlineStr">
        <is>
          <t>MDB</t>
        </is>
      </c>
      <c r="B26" s="10" t="n">
        <v>0.0505</v>
      </c>
      <c r="C26" s="9" t="inlineStr">
        <is>
          <t>STABLE</t>
        </is>
      </c>
      <c r="D26" s="11">
        <f>'MDB'!D9</f>
        <v/>
      </c>
      <c r="E26" s="12">
        <f>'MDB'!E9</f>
        <v/>
      </c>
      <c r="F26" s="12">
        <f>'MDB'!F9</f>
        <v/>
      </c>
      <c r="G26" s="12">
        <f>'MDB'!G9</f>
        <v/>
      </c>
      <c r="H26" s="13">
        <f>'MDB'!H9</f>
        <v/>
      </c>
      <c r="I26" s="11">
        <f>'MDB'!I9</f>
        <v/>
      </c>
      <c r="J26" s="12">
        <f>'MDB'!J9</f>
        <v/>
      </c>
      <c r="K26" s="12">
        <f>'MDB'!K9</f>
        <v/>
      </c>
      <c r="L26" s="12">
        <f>'MDB'!L9</f>
        <v/>
      </c>
      <c r="M26" s="13">
        <f>'MDB'!M9</f>
        <v/>
      </c>
      <c r="N26" s="11">
        <f>'MDB'!N9</f>
        <v/>
      </c>
      <c r="O26" s="12">
        <f>'MDB'!O9</f>
        <v/>
      </c>
      <c r="P26" s="12">
        <f>'MDB'!P9</f>
        <v/>
      </c>
      <c r="Q26" s="12">
        <f>'MDB'!Q9</f>
        <v/>
      </c>
      <c r="R26" s="13">
        <f>'MDB'!R9</f>
        <v/>
      </c>
      <c r="S26" s="11">
        <f>'MDB'!S9</f>
        <v/>
      </c>
      <c r="T26" s="12">
        <f>'MDB'!T9</f>
        <v/>
      </c>
      <c r="U26" s="12">
        <f>'MDB'!U9</f>
        <v/>
      </c>
      <c r="V26" s="12">
        <f>'MDB'!V9</f>
        <v/>
      </c>
      <c r="W26" s="13">
        <f>'MDB'!W9</f>
        <v/>
      </c>
      <c r="X26" s="11">
        <f>'MDB'!X9</f>
        <v/>
      </c>
      <c r="Z26" s="12">
        <f>'MDB'!P23</f>
        <v/>
      </c>
      <c r="AA26" s="12">
        <f>'MDB'!P15</f>
        <v/>
      </c>
      <c r="AB26" s="14">
        <f>IFERROR((Z26-AA26)/AA26,"-")</f>
        <v/>
      </c>
    </row>
    <row r="27">
      <c r="A27" s="9" t="inlineStr">
        <is>
          <t>PAYC</t>
        </is>
      </c>
      <c r="B27" s="10" t="n">
        <v>0.0095</v>
      </c>
      <c r="C27" s="15" t="inlineStr">
        <is>
          <t>ACCELERATING</t>
        </is>
      </c>
      <c r="D27" s="11">
        <f>'PAYC'!D9</f>
        <v/>
      </c>
      <c r="E27" s="12">
        <f>'PAYC'!E9</f>
        <v/>
      </c>
      <c r="F27" s="12">
        <f>'PAYC'!F9</f>
        <v/>
      </c>
      <c r="G27" s="12">
        <f>'PAYC'!G9</f>
        <v/>
      </c>
      <c r="H27" s="13">
        <f>'PAYC'!H9</f>
        <v/>
      </c>
      <c r="I27" s="11">
        <f>'PAYC'!I9</f>
        <v/>
      </c>
      <c r="J27" s="12">
        <f>'PAYC'!J9</f>
        <v/>
      </c>
      <c r="K27" s="12">
        <f>'PAYC'!K9</f>
        <v/>
      </c>
      <c r="L27" s="12">
        <f>'PAYC'!L9</f>
        <v/>
      </c>
      <c r="M27" s="13">
        <f>'PAYC'!M9</f>
        <v/>
      </c>
      <c r="N27" s="11">
        <f>'PAYC'!N9</f>
        <v/>
      </c>
      <c r="O27" s="12">
        <f>'PAYC'!O9</f>
        <v/>
      </c>
      <c r="P27" s="12">
        <f>'PAYC'!P9</f>
        <v/>
      </c>
      <c r="Q27" s="12">
        <f>'PAYC'!Q9</f>
        <v/>
      </c>
      <c r="R27" s="13">
        <f>'PAYC'!R9</f>
        <v/>
      </c>
      <c r="S27" s="11">
        <f>'PAYC'!S9</f>
        <v/>
      </c>
      <c r="T27" s="12">
        <f>'PAYC'!T9</f>
        <v/>
      </c>
      <c r="U27" s="12">
        <f>'PAYC'!U9</f>
        <v/>
      </c>
      <c r="V27" s="12">
        <f>'PAYC'!V9</f>
        <v/>
      </c>
      <c r="W27" s="13">
        <f>'PAYC'!W9</f>
        <v/>
      </c>
      <c r="X27" s="7" t="n"/>
      <c r="Z27" s="12">
        <f>'PAYC'!O23</f>
        <v/>
      </c>
      <c r="AA27" s="12">
        <f>'PAYC'!O15</f>
        <v/>
      </c>
      <c r="AB27" s="14">
        <f>IFERROR((Z27-AA27)/AA27,"-")</f>
        <v/>
      </c>
    </row>
    <row r="28">
      <c r="A28" s="9" t="inlineStr">
        <is>
          <t>DT</t>
        </is>
      </c>
      <c r="B28" s="10" t="n">
        <v>0.0194</v>
      </c>
      <c r="C28" s="9" t="inlineStr">
        <is>
          <t>STABLE</t>
        </is>
      </c>
      <c r="D28" s="11">
        <f>'DT'!D9</f>
        <v/>
      </c>
      <c r="E28" s="12">
        <f>'DT'!E9</f>
        <v/>
      </c>
      <c r="F28" s="12">
        <f>'DT'!F9</f>
        <v/>
      </c>
      <c r="G28" s="12">
        <f>'DT'!G9</f>
        <v/>
      </c>
      <c r="H28" s="13">
        <f>'DT'!H9</f>
        <v/>
      </c>
      <c r="I28" s="11">
        <f>'DT'!I9</f>
        <v/>
      </c>
      <c r="J28" s="12">
        <f>'DT'!J9</f>
        <v/>
      </c>
      <c r="K28" s="12">
        <f>'DT'!K9</f>
        <v/>
      </c>
      <c r="L28" s="12">
        <f>'DT'!L9</f>
        <v/>
      </c>
      <c r="M28" s="13">
        <f>'DT'!M9</f>
        <v/>
      </c>
      <c r="N28" s="11">
        <f>'DT'!N9</f>
        <v/>
      </c>
      <c r="O28" s="12">
        <f>'DT'!O9</f>
        <v/>
      </c>
      <c r="P28" s="12">
        <f>'DT'!P9</f>
        <v/>
      </c>
      <c r="Q28" s="12">
        <f>'DT'!Q9</f>
        <v/>
      </c>
      <c r="R28" s="13">
        <f>'DT'!R9</f>
        <v/>
      </c>
      <c r="S28" s="11">
        <f>'DT'!S9</f>
        <v/>
      </c>
      <c r="T28" s="12">
        <f>'DT'!T9</f>
        <v/>
      </c>
      <c r="U28" s="12">
        <f>'DT'!U9</f>
        <v/>
      </c>
      <c r="V28" s="12">
        <f>'DT'!V9</f>
        <v/>
      </c>
      <c r="W28" s="13">
        <f>'DT'!W9</f>
        <v/>
      </c>
      <c r="X28" s="7" t="n"/>
      <c r="Z28" s="12">
        <f>'DT'!O23</f>
        <v/>
      </c>
      <c r="AA28" s="12">
        <f>'DT'!O15</f>
        <v/>
      </c>
      <c r="AB28" s="14">
        <f>IFERROR((Z28-AA28)/AA28,"-")</f>
        <v/>
      </c>
    </row>
    <row r="29">
      <c r="A29" s="9" t="inlineStr">
        <is>
          <t>PCTY</t>
        </is>
      </c>
      <c r="B29" s="10" t="n">
        <v>0.0216</v>
      </c>
      <c r="C29" s="9" t="inlineStr">
        <is>
          <t>STABLE</t>
        </is>
      </c>
      <c r="D29" s="11">
        <f>'PCTY'!D9</f>
        <v/>
      </c>
      <c r="E29" s="12">
        <f>'PCTY'!E9</f>
        <v/>
      </c>
      <c r="F29" s="12">
        <f>'PCTY'!F9</f>
        <v/>
      </c>
      <c r="G29" s="12">
        <f>'PCTY'!G9</f>
        <v/>
      </c>
      <c r="H29" s="13">
        <f>'PCTY'!H9</f>
        <v/>
      </c>
      <c r="I29" s="11">
        <f>'PCTY'!I9</f>
        <v/>
      </c>
      <c r="J29" s="12">
        <f>'PCTY'!J9</f>
        <v/>
      </c>
      <c r="K29" s="12">
        <f>'PCTY'!K9</f>
        <v/>
      </c>
      <c r="L29" s="12">
        <f>'PCTY'!L9</f>
        <v/>
      </c>
      <c r="M29" s="13">
        <f>'PCTY'!M9</f>
        <v/>
      </c>
      <c r="N29" s="11">
        <f>'PCTY'!N9</f>
        <v/>
      </c>
      <c r="O29" s="12">
        <f>'PCTY'!O9</f>
        <v/>
      </c>
      <c r="P29" s="12">
        <f>'PCTY'!P9</f>
        <v/>
      </c>
      <c r="Q29" s="12">
        <f>'PCTY'!Q9</f>
        <v/>
      </c>
      <c r="R29" s="13">
        <f>'PCTY'!R9</f>
        <v/>
      </c>
      <c r="S29" s="11">
        <f>'PCTY'!S9</f>
        <v/>
      </c>
      <c r="T29" s="12">
        <f>'PCTY'!T9</f>
        <v/>
      </c>
      <c r="U29" s="12">
        <f>'PCTY'!U9</f>
        <v/>
      </c>
      <c r="V29" s="12">
        <f>'PCTY'!V9</f>
        <v/>
      </c>
      <c r="W29" s="13">
        <f>'PCTY'!W9</f>
        <v/>
      </c>
      <c r="X29" s="7" t="n"/>
      <c r="Z29" s="12">
        <f>'PCTY'!O23</f>
        <v/>
      </c>
      <c r="AA29" s="12">
        <f>'PCTY'!O15</f>
        <v/>
      </c>
      <c r="AB29" s="14">
        <f>IFERROR((Z29-AA29)/AA29,"-")</f>
        <v/>
      </c>
    </row>
    <row r="30">
      <c r="A30" s="9" t="inlineStr">
        <is>
          <t>ESTC</t>
        </is>
      </c>
      <c r="B30" s="10" t="n">
        <v>0.0244</v>
      </c>
      <c r="C30" s="9" t="inlineStr">
        <is>
          <t>STABLE</t>
        </is>
      </c>
      <c r="D30" s="11">
        <f>'ESTC'!D9</f>
        <v/>
      </c>
      <c r="E30" s="12">
        <f>'ESTC'!E9</f>
        <v/>
      </c>
      <c r="F30" s="12">
        <f>'ESTC'!F9</f>
        <v/>
      </c>
      <c r="G30" s="12">
        <f>'ESTC'!G9</f>
        <v/>
      </c>
      <c r="H30" s="13">
        <f>'ESTC'!H9</f>
        <v/>
      </c>
      <c r="I30" s="11">
        <f>'ESTC'!I9</f>
        <v/>
      </c>
      <c r="J30" s="12">
        <f>'ESTC'!J9</f>
        <v/>
      </c>
      <c r="K30" s="12">
        <f>'ESTC'!K9</f>
        <v/>
      </c>
      <c r="L30" s="12">
        <f>'ESTC'!L9</f>
        <v/>
      </c>
      <c r="M30" s="13">
        <f>'ESTC'!M9</f>
        <v/>
      </c>
      <c r="N30" s="11">
        <f>'ESTC'!N9</f>
        <v/>
      </c>
      <c r="O30" s="12">
        <f>'ESTC'!O9</f>
        <v/>
      </c>
      <c r="P30" s="12">
        <f>'ESTC'!P9</f>
        <v/>
      </c>
      <c r="Q30" s="12">
        <f>'ESTC'!Q9</f>
        <v/>
      </c>
      <c r="R30" s="13">
        <f>'ESTC'!R9</f>
        <v/>
      </c>
      <c r="S30" s="11">
        <f>'ESTC'!S9</f>
        <v/>
      </c>
      <c r="T30" s="12">
        <f>'ESTC'!T9</f>
        <v/>
      </c>
      <c r="U30" s="12">
        <f>'ESTC'!U9</f>
        <v/>
      </c>
      <c r="V30" s="12">
        <f>'ESTC'!V9</f>
        <v/>
      </c>
      <c r="W30" s="13">
        <f>'ESTC'!W9</f>
        <v/>
      </c>
      <c r="X30" s="11">
        <f>'ESTC'!X9</f>
        <v/>
      </c>
      <c r="Z30" s="12">
        <f>'ESTC'!P23</f>
        <v/>
      </c>
      <c r="AA30" s="12">
        <f>'ESTC'!P15</f>
        <v/>
      </c>
      <c r="AB30" s="14">
        <f>IFERROR((Z30-AA30)/AA30,"-")</f>
        <v/>
      </c>
    </row>
    <row r="31">
      <c r="A31" s="9" t="inlineStr">
        <is>
          <t>BILL</t>
        </is>
      </c>
      <c r="B31" s="10" t="n">
        <v>0.008</v>
      </c>
      <c r="C31" s="9" t="inlineStr">
        <is>
          <t>STABLE</t>
        </is>
      </c>
      <c r="D31" s="11">
        <f>'BILL'!D9</f>
        <v/>
      </c>
      <c r="E31" s="12">
        <f>'BILL'!E9</f>
        <v/>
      </c>
      <c r="F31" s="12">
        <f>'BILL'!F9</f>
        <v/>
      </c>
      <c r="G31" s="12">
        <f>'BILL'!G9</f>
        <v/>
      </c>
      <c r="H31" s="13">
        <f>'BILL'!H9</f>
        <v/>
      </c>
      <c r="I31" s="11">
        <f>'BILL'!I9</f>
        <v/>
      </c>
      <c r="J31" s="12">
        <f>'BILL'!J9</f>
        <v/>
      </c>
      <c r="K31" s="12">
        <f>'BILL'!K9</f>
        <v/>
      </c>
      <c r="L31" s="12">
        <f>'BILL'!L9</f>
        <v/>
      </c>
      <c r="M31" s="13">
        <f>'BILL'!M9</f>
        <v/>
      </c>
      <c r="N31" s="11">
        <f>'BILL'!N9</f>
        <v/>
      </c>
      <c r="O31" s="12">
        <f>'BILL'!O9</f>
        <v/>
      </c>
      <c r="P31" s="12">
        <f>'BILL'!P9</f>
        <v/>
      </c>
      <c r="Q31" s="12">
        <f>'BILL'!Q9</f>
        <v/>
      </c>
      <c r="R31" s="13">
        <f>'BILL'!R9</f>
        <v/>
      </c>
      <c r="S31" s="11">
        <f>'BILL'!S9</f>
        <v/>
      </c>
      <c r="T31" s="12">
        <f>'BILL'!T9</f>
        <v/>
      </c>
      <c r="U31" s="12">
        <f>'BILL'!U9</f>
        <v/>
      </c>
      <c r="V31" s="12">
        <f>'BILL'!V9</f>
        <v/>
      </c>
      <c r="W31" s="13">
        <f>'BILL'!W9</f>
        <v/>
      </c>
      <c r="X31" s="7" t="n"/>
      <c r="Z31" s="12">
        <f>'BILL'!O23</f>
        <v/>
      </c>
      <c r="AA31" s="12">
        <f>'BILL'!O15</f>
        <v/>
      </c>
      <c r="AB31" s="14">
        <f>IFERROR((Z31-AA31)/AA31,"-")</f>
        <v/>
      </c>
    </row>
    <row r="32">
      <c r="A32" s="9" t="inlineStr">
        <is>
          <t>BSY</t>
        </is>
      </c>
      <c r="B32" s="10" t="n">
        <v>0.0135</v>
      </c>
      <c r="C32" s="15" t="inlineStr">
        <is>
          <t>ACCELERATING</t>
        </is>
      </c>
      <c r="D32" s="11">
        <f>'BSY'!D9</f>
        <v/>
      </c>
      <c r="E32" s="12">
        <f>'BSY'!E9</f>
        <v/>
      </c>
      <c r="F32" s="12">
        <f>'BSY'!F9</f>
        <v/>
      </c>
      <c r="G32" s="12">
        <f>'BSY'!G9</f>
        <v/>
      </c>
      <c r="H32" s="13">
        <f>'BSY'!H9</f>
        <v/>
      </c>
      <c r="I32" s="11">
        <f>'BSY'!I9</f>
        <v/>
      </c>
      <c r="J32" s="12">
        <f>'BSY'!J9</f>
        <v/>
      </c>
      <c r="K32" s="12">
        <f>'BSY'!K9</f>
        <v/>
      </c>
      <c r="L32" s="12">
        <f>'BSY'!L9</f>
        <v/>
      </c>
      <c r="M32" s="13">
        <f>'BSY'!M9</f>
        <v/>
      </c>
      <c r="N32" s="11">
        <f>'BSY'!N9</f>
        <v/>
      </c>
      <c r="O32" s="12">
        <f>'BSY'!O9</f>
        <v/>
      </c>
      <c r="P32" s="12">
        <f>'BSY'!P9</f>
        <v/>
      </c>
      <c r="Q32" s="12">
        <f>'BSY'!Q9</f>
        <v/>
      </c>
      <c r="R32" s="13">
        <f>'BSY'!R9</f>
        <v/>
      </c>
      <c r="S32" s="11">
        <f>'BSY'!S9</f>
        <v/>
      </c>
      <c r="T32" s="12">
        <f>'BSY'!T9</f>
        <v/>
      </c>
      <c r="U32" s="12">
        <f>'BSY'!U9</f>
        <v/>
      </c>
      <c r="V32" s="12">
        <f>'BSY'!V9</f>
        <v/>
      </c>
      <c r="W32" s="13">
        <f>'BSY'!W9</f>
        <v/>
      </c>
      <c r="X32" s="7" t="n"/>
      <c r="Z32" s="12">
        <f>'BSY'!O23</f>
        <v/>
      </c>
      <c r="AA32" s="12">
        <f>'BSY'!O15</f>
        <v/>
      </c>
      <c r="AB32" s="14">
        <f>IFERROR((Z32-AA32)/AA32,"-")</f>
        <v/>
      </c>
    </row>
    <row r="33">
      <c r="A33" s="9" t="inlineStr">
        <is>
          <t>GWRE</t>
        </is>
      </c>
      <c r="B33" s="10" t="n">
        <v>0.0447</v>
      </c>
      <c r="C33" s="9" t="inlineStr">
        <is>
          <t>STABLE</t>
        </is>
      </c>
      <c r="D33" s="11">
        <f>'GWRE'!D9</f>
        <v/>
      </c>
      <c r="E33" s="12">
        <f>'GWRE'!E9</f>
        <v/>
      </c>
      <c r="F33" s="12">
        <f>'GWRE'!F9</f>
        <v/>
      </c>
      <c r="G33" s="12">
        <f>'GWRE'!G9</f>
        <v/>
      </c>
      <c r="H33" s="13">
        <f>'GWRE'!H9</f>
        <v/>
      </c>
      <c r="I33" s="11">
        <f>'GWRE'!I9</f>
        <v/>
      </c>
      <c r="J33" s="12">
        <f>'GWRE'!J9</f>
        <v/>
      </c>
      <c r="K33" s="12">
        <f>'GWRE'!K9</f>
        <v/>
      </c>
      <c r="L33" s="12">
        <f>'GWRE'!L9</f>
        <v/>
      </c>
      <c r="M33" s="13">
        <f>'GWRE'!M9</f>
        <v/>
      </c>
      <c r="N33" s="11">
        <f>'GWRE'!N9</f>
        <v/>
      </c>
      <c r="O33" s="12">
        <f>'GWRE'!O9</f>
        <v/>
      </c>
      <c r="P33" s="12">
        <f>'GWRE'!P9</f>
        <v/>
      </c>
      <c r="Q33" s="12">
        <f>'GWRE'!Q9</f>
        <v/>
      </c>
      <c r="R33" s="13">
        <f>'GWRE'!R9</f>
        <v/>
      </c>
      <c r="S33" s="11">
        <f>'GWRE'!S9</f>
        <v/>
      </c>
      <c r="T33" s="12">
        <f>'GWRE'!T9</f>
        <v/>
      </c>
      <c r="U33" s="12">
        <f>'GWRE'!U9</f>
        <v/>
      </c>
      <c r="V33" s="12">
        <f>'GWRE'!V9</f>
        <v/>
      </c>
      <c r="W33" s="13">
        <f>'GWRE'!W9</f>
        <v/>
      </c>
      <c r="X33" s="11">
        <f>'GWRE'!X9</f>
        <v/>
      </c>
      <c r="Z33" s="12">
        <f>'GWRE'!P23</f>
        <v/>
      </c>
      <c r="AA33" s="12">
        <f>'GWRE'!P15</f>
        <v/>
      </c>
      <c r="AB33" s="14">
        <f>IFERROR((Z33-AA33)/AA33,"-")</f>
        <v/>
      </c>
    </row>
    <row r="34">
      <c r="A34" s="9" t="inlineStr">
        <is>
          <t>PCOR</t>
        </is>
      </c>
      <c r="B34" s="10" t="n">
        <v>0.0174</v>
      </c>
      <c r="C34" s="9" t="inlineStr">
        <is>
          <t>STABLE</t>
        </is>
      </c>
      <c r="D34" s="11">
        <f>'PCOR'!D9</f>
        <v/>
      </c>
      <c r="E34" s="12">
        <f>'PCOR'!E9</f>
        <v/>
      </c>
      <c r="F34" s="12">
        <f>'PCOR'!F9</f>
        <v/>
      </c>
      <c r="G34" s="12">
        <f>'PCOR'!G9</f>
        <v/>
      </c>
      <c r="H34" s="13">
        <f>'PCOR'!H9</f>
        <v/>
      </c>
      <c r="I34" s="11">
        <f>'PCOR'!I9</f>
        <v/>
      </c>
      <c r="J34" s="12">
        <f>'PCOR'!J9</f>
        <v/>
      </c>
      <c r="K34" s="12">
        <f>'PCOR'!K9</f>
        <v/>
      </c>
      <c r="L34" s="12">
        <f>'PCOR'!L9</f>
        <v/>
      </c>
      <c r="M34" s="13">
        <f>'PCOR'!M9</f>
        <v/>
      </c>
      <c r="N34" s="11">
        <f>'PCOR'!N9</f>
        <v/>
      </c>
      <c r="O34" s="12">
        <f>'PCOR'!O9</f>
        <v/>
      </c>
      <c r="P34" s="12">
        <f>'PCOR'!P9</f>
        <v/>
      </c>
      <c r="Q34" s="12">
        <f>'PCOR'!Q9</f>
        <v/>
      </c>
      <c r="R34" s="13">
        <f>'PCOR'!R9</f>
        <v/>
      </c>
      <c r="S34" s="11">
        <f>'PCOR'!S9</f>
        <v/>
      </c>
      <c r="T34" s="12">
        <f>'PCOR'!T9</f>
        <v/>
      </c>
      <c r="U34" s="12">
        <f>'PCOR'!U9</f>
        <v/>
      </c>
      <c r="V34" s="12">
        <f>'PCOR'!V9</f>
        <v/>
      </c>
      <c r="W34" s="13">
        <f>'PCOR'!W9</f>
        <v/>
      </c>
      <c r="X34" s="7" t="n"/>
      <c r="Z34" s="12">
        <f>'PCOR'!O23</f>
        <v/>
      </c>
      <c r="AA34" s="12">
        <f>'PCOR'!O15</f>
        <v/>
      </c>
      <c r="AB34" s="14">
        <f>IFERROR((Z34-AA34)/AA34,"-")</f>
        <v/>
      </c>
    </row>
    <row r="35">
      <c r="A35" s="9" t="inlineStr">
        <is>
          <t>ZI</t>
        </is>
      </c>
      <c r="B35" s="10" t="n">
        <v>0.0304</v>
      </c>
      <c r="C35" s="9" t="inlineStr">
        <is>
          <t>STABLE</t>
        </is>
      </c>
      <c r="D35" s="11">
        <f>'ZI'!D9</f>
        <v/>
      </c>
      <c r="E35" s="12">
        <f>'ZI'!E9</f>
        <v/>
      </c>
      <c r="F35" s="12">
        <f>'ZI'!F9</f>
        <v/>
      </c>
      <c r="G35" s="12">
        <f>'ZI'!G9</f>
        <v/>
      </c>
      <c r="H35" s="13">
        <f>'ZI'!H9</f>
        <v/>
      </c>
      <c r="I35" s="11">
        <f>'ZI'!I9</f>
        <v/>
      </c>
      <c r="J35" s="12">
        <f>'ZI'!J9</f>
        <v/>
      </c>
      <c r="K35" s="12">
        <f>'ZI'!K9</f>
        <v/>
      </c>
      <c r="L35" s="12">
        <f>'ZI'!L9</f>
        <v/>
      </c>
      <c r="M35" s="13">
        <f>'ZI'!M9</f>
        <v/>
      </c>
      <c r="N35" s="11">
        <f>'ZI'!N9</f>
        <v/>
      </c>
      <c r="O35" s="12">
        <f>'ZI'!O9</f>
        <v/>
      </c>
      <c r="P35" s="12">
        <f>'ZI'!P9</f>
        <v/>
      </c>
      <c r="Q35" s="12">
        <f>'ZI'!Q9</f>
        <v/>
      </c>
      <c r="R35" s="13">
        <f>'ZI'!R9</f>
        <v/>
      </c>
      <c r="S35" s="11">
        <f>'ZI'!S9</f>
        <v/>
      </c>
      <c r="T35" s="12">
        <f>'ZI'!T9</f>
        <v/>
      </c>
      <c r="U35" s="12">
        <f>'ZI'!U9</f>
        <v/>
      </c>
      <c r="V35" s="12">
        <f>'ZI'!V9</f>
        <v/>
      </c>
      <c r="W35" s="13">
        <f>'ZI'!W9</f>
        <v/>
      </c>
      <c r="X35" s="7" t="n"/>
      <c r="Z35" s="12">
        <f>'ZI'!O23</f>
        <v/>
      </c>
      <c r="AA35" s="12">
        <f>'ZI'!O15</f>
        <v/>
      </c>
      <c r="AB35" s="14">
        <f>IFERROR((Z35-AA35)/AA35,"-")</f>
        <v/>
      </c>
    </row>
    <row r="36">
      <c r="A36" s="9" t="inlineStr">
        <is>
          <t>KVYO</t>
        </is>
      </c>
      <c r="B36" s="10" t="n">
        <v>0.045</v>
      </c>
      <c r="C36" s="15" t="inlineStr">
        <is>
          <t>ACCELERATING</t>
        </is>
      </c>
      <c r="D36" s="11">
        <f>'KVYO'!D9</f>
        <v/>
      </c>
      <c r="E36" s="12">
        <f>'KVYO'!E9</f>
        <v/>
      </c>
      <c r="F36" s="12">
        <f>'KVYO'!F9</f>
        <v/>
      </c>
      <c r="G36" s="12">
        <f>'KVYO'!G9</f>
        <v/>
      </c>
      <c r="H36" s="13">
        <f>'KVYO'!H9</f>
        <v/>
      </c>
      <c r="I36" s="11">
        <f>'KVYO'!I9</f>
        <v/>
      </c>
      <c r="J36" s="12">
        <f>'KVYO'!J9</f>
        <v/>
      </c>
      <c r="K36" s="12">
        <f>'KVYO'!K9</f>
        <v/>
      </c>
      <c r="L36" s="12">
        <f>'KVYO'!L9</f>
        <v/>
      </c>
      <c r="M36" s="13">
        <f>'KVYO'!M9</f>
        <v/>
      </c>
      <c r="N36" s="11">
        <f>'KVYO'!N9</f>
        <v/>
      </c>
      <c r="O36" s="12">
        <f>'KVYO'!O9</f>
        <v/>
      </c>
      <c r="P36" s="12">
        <f>'KVYO'!P9</f>
        <v/>
      </c>
      <c r="Q36" s="12">
        <f>'KVYO'!Q9</f>
        <v/>
      </c>
      <c r="R36" s="13">
        <f>'KVYO'!R9</f>
        <v/>
      </c>
      <c r="S36" s="11">
        <f>'KVYO'!S9</f>
        <v/>
      </c>
      <c r="T36" s="12">
        <f>'KVYO'!T9</f>
        <v/>
      </c>
      <c r="U36" s="12">
        <f>'KVYO'!U9</f>
        <v/>
      </c>
      <c r="V36" s="12">
        <f>'KVYO'!V9</f>
        <v/>
      </c>
      <c r="W36" s="13">
        <f>'KVYO'!W9</f>
        <v/>
      </c>
      <c r="X36" s="7" t="n"/>
      <c r="Z36" s="12">
        <f>'KVYO'!O23</f>
        <v/>
      </c>
      <c r="AA36" s="12">
        <f>'KVYO'!O15</f>
        <v/>
      </c>
      <c r="AB36" s="14">
        <f>IFERROR((Z36-AA36)/AA36,"-")</f>
        <v/>
      </c>
    </row>
    <row r="37">
      <c r="A37" s="9" t="inlineStr">
        <is>
          <t>MNDY</t>
        </is>
      </c>
      <c r="B37" s="10" t="n">
        <v>0.0166</v>
      </c>
      <c r="C37" s="9" t="inlineStr">
        <is>
          <t>STABLE</t>
        </is>
      </c>
      <c r="D37" s="11">
        <f>'MNDY'!D9</f>
        <v/>
      </c>
      <c r="E37" s="12">
        <f>'MNDY'!E9</f>
        <v/>
      </c>
      <c r="F37" s="12">
        <f>'MNDY'!F9</f>
        <v/>
      </c>
      <c r="G37" s="12">
        <f>'MNDY'!G9</f>
        <v/>
      </c>
      <c r="H37" s="13">
        <f>'MNDY'!H9</f>
        <v/>
      </c>
      <c r="I37" s="11">
        <f>'MNDY'!I9</f>
        <v/>
      </c>
      <c r="J37" s="12">
        <f>'MNDY'!J9</f>
        <v/>
      </c>
      <c r="K37" s="12">
        <f>'MNDY'!K9</f>
        <v/>
      </c>
      <c r="L37" s="12">
        <f>'MNDY'!L9</f>
        <v/>
      </c>
      <c r="M37" s="13">
        <f>'MNDY'!M9</f>
        <v/>
      </c>
      <c r="N37" s="11">
        <f>'MNDY'!N9</f>
        <v/>
      </c>
      <c r="O37" s="12">
        <f>'MNDY'!O9</f>
        <v/>
      </c>
      <c r="P37" s="12">
        <f>'MNDY'!P9</f>
        <v/>
      </c>
      <c r="Q37" s="12">
        <f>'MNDY'!Q9</f>
        <v/>
      </c>
      <c r="R37" s="13">
        <f>'MNDY'!R9</f>
        <v/>
      </c>
      <c r="S37" s="11">
        <f>'MNDY'!S9</f>
        <v/>
      </c>
      <c r="T37" s="12">
        <f>'MNDY'!T9</f>
        <v/>
      </c>
      <c r="U37" s="12">
        <f>'MNDY'!U9</f>
        <v/>
      </c>
      <c r="V37" s="12">
        <f>'MNDY'!V9</f>
        <v/>
      </c>
      <c r="W37" s="13">
        <f>'MNDY'!W9</f>
        <v/>
      </c>
      <c r="X37" s="7" t="n"/>
      <c r="Z37" s="12">
        <f>'MNDY'!O23</f>
        <v/>
      </c>
      <c r="AA37" s="12">
        <f>'MNDY'!O15</f>
        <v/>
      </c>
      <c r="AB37" s="14">
        <f>IFERROR((Z37-AA37)/AA37,"-")</f>
        <v/>
      </c>
    </row>
    <row r="38">
      <c r="A38" s="9" t="inlineStr">
        <is>
          <t>CFLT</t>
        </is>
      </c>
      <c r="B38" s="10" t="n">
        <v>0.0026</v>
      </c>
      <c r="C38" s="15" t="inlineStr">
        <is>
          <t>ACCELERATING</t>
        </is>
      </c>
      <c r="D38" s="11">
        <f>'CFLT'!D9</f>
        <v/>
      </c>
      <c r="E38" s="12">
        <f>'CFLT'!E9</f>
        <v/>
      </c>
      <c r="F38" s="12">
        <f>'CFLT'!F9</f>
        <v/>
      </c>
      <c r="G38" s="12">
        <f>'CFLT'!G9</f>
        <v/>
      </c>
      <c r="H38" s="13">
        <f>'CFLT'!H9</f>
        <v/>
      </c>
      <c r="I38" s="11">
        <f>'CFLT'!I9</f>
        <v/>
      </c>
      <c r="J38" s="12">
        <f>'CFLT'!J9</f>
        <v/>
      </c>
      <c r="K38" s="12">
        <f>'CFLT'!K9</f>
        <v/>
      </c>
      <c r="L38" s="12">
        <f>'CFLT'!L9</f>
        <v/>
      </c>
      <c r="M38" s="13">
        <f>'CFLT'!M9</f>
        <v/>
      </c>
      <c r="N38" s="11">
        <f>'CFLT'!N9</f>
        <v/>
      </c>
      <c r="O38" s="12">
        <f>'CFLT'!O9</f>
        <v/>
      </c>
      <c r="P38" s="12">
        <f>'CFLT'!P9</f>
        <v/>
      </c>
      <c r="Q38" s="12">
        <f>'CFLT'!Q9</f>
        <v/>
      </c>
      <c r="R38" s="13">
        <f>'CFLT'!R9</f>
        <v/>
      </c>
      <c r="S38" s="11">
        <f>'CFLT'!S9</f>
        <v/>
      </c>
      <c r="T38" s="12">
        <f>'CFLT'!T9</f>
        <v/>
      </c>
      <c r="U38" s="12">
        <f>'CFLT'!U9</f>
        <v/>
      </c>
      <c r="V38" s="12">
        <f>'CFLT'!V9</f>
        <v/>
      </c>
      <c r="W38" s="13">
        <f>'CFLT'!W9</f>
        <v/>
      </c>
      <c r="X38" s="7" t="n"/>
      <c r="Z38" s="12">
        <f>'CFLT'!O23</f>
        <v/>
      </c>
      <c r="AA38" s="12">
        <f>'CFLT'!O15</f>
        <v/>
      </c>
      <c r="AB38" s="14">
        <f>IFERROR((Z38-AA38)/AA38,"-")</f>
        <v/>
      </c>
    </row>
    <row r="39">
      <c r="A39" s="9" t="inlineStr">
        <is>
          <t>AZPN</t>
        </is>
      </c>
      <c r="B39" s="10" t="n">
        <v>0.008699999999999999</v>
      </c>
      <c r="C39" s="9" t="inlineStr">
        <is>
          <t>STABLE</t>
        </is>
      </c>
      <c r="D39" s="11">
        <f>'AZPN'!I9</f>
        <v/>
      </c>
      <c r="E39" s="12">
        <f>'AZPN'!J9</f>
        <v/>
      </c>
      <c r="F39" s="12">
        <f>'AZPN'!K9</f>
        <v/>
      </c>
      <c r="G39" s="12">
        <f>'AZPN'!L9</f>
        <v/>
      </c>
      <c r="H39" s="13">
        <f>'AZPN'!M9</f>
        <v/>
      </c>
      <c r="I39" s="11">
        <f>'AZPN'!N9</f>
        <v/>
      </c>
      <c r="J39" s="12">
        <f>'AZPN'!O9</f>
        <v/>
      </c>
      <c r="K39" s="12">
        <f>'AZPN'!P9</f>
        <v/>
      </c>
      <c r="L39" s="12">
        <f>'AZPN'!Q9</f>
        <v/>
      </c>
      <c r="M39" s="13">
        <f>'AZPN'!R9</f>
        <v/>
      </c>
      <c r="N39" s="11">
        <f>'AZPN'!S9</f>
        <v/>
      </c>
      <c r="O39" s="12">
        <f>'AZPN'!T9</f>
        <v/>
      </c>
      <c r="P39" s="12">
        <f>'AZPN'!U9</f>
        <v/>
      </c>
      <c r="Q39" s="12">
        <f>'AZPN'!V9</f>
        <v/>
      </c>
      <c r="R39" s="13">
        <f>'AZPN'!W9</f>
        <v/>
      </c>
      <c r="S39" s="11">
        <f>'AZPN'!X9</f>
        <v/>
      </c>
      <c r="T39" s="12">
        <f>'AZPN'!Y9</f>
        <v/>
      </c>
      <c r="U39" s="12">
        <f>'AZPN'!Z9</f>
        <v/>
      </c>
      <c r="V39" s="12">
        <f>'AZPN'!AA9</f>
        <v/>
      </c>
      <c r="W39" s="13">
        <f>'AZPN'!AB9</f>
        <v/>
      </c>
      <c r="X39" s="7" t="n"/>
      <c r="Z39" s="12">
        <f>'AZPN'!O23</f>
        <v/>
      </c>
      <c r="AA39" s="12">
        <f>'AZPN'!O15</f>
        <v/>
      </c>
      <c r="AB39" s="14">
        <f>IFERROR((Z39-AA39)/AA39,"-")</f>
        <v/>
      </c>
    </row>
    <row r="40">
      <c r="A40" s="9" t="inlineStr">
        <is>
          <t>MANH</t>
        </is>
      </c>
      <c r="B40" s="10" t="n">
        <v>0.0234</v>
      </c>
      <c r="C40" s="16" t="inlineStr">
        <is>
          <t>DECELERATING</t>
        </is>
      </c>
      <c r="D40" s="11">
        <f>'MANH'!D9</f>
        <v/>
      </c>
      <c r="E40" s="12">
        <f>'MANH'!E9</f>
        <v/>
      </c>
      <c r="F40" s="12">
        <f>'MANH'!F9</f>
        <v/>
      </c>
      <c r="G40" s="12">
        <f>'MANH'!G9</f>
        <v/>
      </c>
      <c r="H40" s="13">
        <f>'MANH'!H9</f>
        <v/>
      </c>
      <c r="I40" s="11">
        <f>'MANH'!I9</f>
        <v/>
      </c>
      <c r="J40" s="12">
        <f>'MANH'!J9</f>
        <v/>
      </c>
      <c r="K40" s="12">
        <f>'MANH'!K9</f>
        <v/>
      </c>
      <c r="L40" s="12">
        <f>'MANH'!L9</f>
        <v/>
      </c>
      <c r="M40" s="13">
        <f>'MANH'!M9</f>
        <v/>
      </c>
      <c r="N40" s="11">
        <f>'MANH'!N9</f>
        <v/>
      </c>
      <c r="O40" s="12">
        <f>'MANH'!O9</f>
        <v/>
      </c>
      <c r="P40" s="12">
        <f>'MANH'!P9</f>
        <v/>
      </c>
      <c r="Q40" s="12">
        <f>'MANH'!Q9</f>
        <v/>
      </c>
      <c r="R40" s="13">
        <f>'MANH'!R9</f>
        <v/>
      </c>
      <c r="S40" s="11">
        <f>'MANH'!S9</f>
        <v/>
      </c>
      <c r="T40" s="12">
        <f>'MANH'!T9</f>
        <v/>
      </c>
      <c r="U40" s="12">
        <f>'MANH'!U9</f>
        <v/>
      </c>
      <c r="V40" s="12">
        <f>'MANH'!V9</f>
        <v/>
      </c>
      <c r="W40" s="13">
        <f>'MANH'!W9</f>
        <v/>
      </c>
      <c r="X40" s="7" t="n"/>
      <c r="Z40" s="12">
        <f>'MANH'!O23</f>
        <v/>
      </c>
      <c r="AA40" s="12">
        <f>'MANH'!O15</f>
        <v/>
      </c>
      <c r="AB40" s="14">
        <f>IFERROR((Z40-AA40)/AA40,"-")</f>
        <v/>
      </c>
    </row>
    <row r="41">
      <c r="A41" s="9" t="inlineStr">
        <is>
          <t>S</t>
        </is>
      </c>
      <c r="B41" s="10" t="n">
        <v>-0.0052</v>
      </c>
      <c r="C41" s="9" t="inlineStr">
        <is>
          <t>STABLE</t>
        </is>
      </c>
      <c r="D41" s="11">
        <f>'S'!D9</f>
        <v/>
      </c>
      <c r="E41" s="12">
        <f>'S'!E9</f>
        <v/>
      </c>
      <c r="F41" s="12">
        <f>'S'!F9</f>
        <v/>
      </c>
      <c r="G41" s="12">
        <f>'S'!G9</f>
        <v/>
      </c>
      <c r="H41" s="13">
        <f>'S'!H9</f>
        <v/>
      </c>
      <c r="I41" s="11">
        <f>'S'!I9</f>
        <v/>
      </c>
      <c r="J41" s="12">
        <f>'S'!J9</f>
        <v/>
      </c>
      <c r="K41" s="12">
        <f>'S'!K9</f>
        <v/>
      </c>
      <c r="L41" s="12">
        <f>'S'!L9</f>
        <v/>
      </c>
      <c r="M41" s="13">
        <f>'S'!M9</f>
        <v/>
      </c>
      <c r="N41" s="11">
        <f>'S'!N9</f>
        <v/>
      </c>
      <c r="O41" s="12">
        <f>'S'!O9</f>
        <v/>
      </c>
      <c r="P41" s="12">
        <f>'S'!P9</f>
        <v/>
      </c>
      <c r="Q41" s="12">
        <f>'S'!Q9</f>
        <v/>
      </c>
      <c r="R41" s="13">
        <f>'S'!R9</f>
        <v/>
      </c>
      <c r="S41" s="11">
        <f>'S'!S9</f>
        <v/>
      </c>
      <c r="T41" s="12">
        <f>'S'!T9</f>
        <v/>
      </c>
      <c r="U41" s="12">
        <f>'S'!U9</f>
        <v/>
      </c>
      <c r="V41" s="12">
        <f>'S'!V9</f>
        <v/>
      </c>
      <c r="W41" s="13">
        <f>'S'!W9</f>
        <v/>
      </c>
      <c r="X41" s="11">
        <f>'S'!X9</f>
        <v/>
      </c>
      <c r="Z41" s="12">
        <f>'S'!P23</f>
        <v/>
      </c>
      <c r="AA41" s="12">
        <f>'S'!P15</f>
        <v/>
      </c>
      <c r="AB41" s="14">
        <f>IFERROR((Z41-AA41)/AA41,"-")</f>
        <v/>
      </c>
    </row>
    <row r="42">
      <c r="A42" s="9" t="inlineStr">
        <is>
          <t>TENB</t>
        </is>
      </c>
      <c r="B42" s="10" t="n">
        <v>0.0171</v>
      </c>
      <c r="C42" s="9" t="inlineStr">
        <is>
          <t>STABLE</t>
        </is>
      </c>
      <c r="D42" s="11">
        <f>'TENB'!D9</f>
        <v/>
      </c>
      <c r="E42" s="12">
        <f>'TENB'!E9</f>
        <v/>
      </c>
      <c r="F42" s="12">
        <f>'TENB'!F9</f>
        <v/>
      </c>
      <c r="G42" s="12">
        <f>'TENB'!G9</f>
        <v/>
      </c>
      <c r="H42" s="13">
        <f>'TENB'!H9</f>
        <v/>
      </c>
      <c r="I42" s="11">
        <f>'TENB'!I9</f>
        <v/>
      </c>
      <c r="J42" s="12">
        <f>'TENB'!J9</f>
        <v/>
      </c>
      <c r="K42" s="12">
        <f>'TENB'!K9</f>
        <v/>
      </c>
      <c r="L42" s="12">
        <f>'TENB'!L9</f>
        <v/>
      </c>
      <c r="M42" s="13">
        <f>'TENB'!M9</f>
        <v/>
      </c>
      <c r="N42" s="11">
        <f>'TENB'!N9</f>
        <v/>
      </c>
      <c r="O42" s="12">
        <f>'TENB'!O9</f>
        <v/>
      </c>
      <c r="P42" s="12">
        <f>'TENB'!P9</f>
        <v/>
      </c>
      <c r="Q42" s="12">
        <f>'TENB'!Q9</f>
        <v/>
      </c>
      <c r="R42" s="13">
        <f>'TENB'!R9</f>
        <v/>
      </c>
      <c r="S42" s="11">
        <f>'TENB'!S9</f>
        <v/>
      </c>
      <c r="T42" s="12">
        <f>'TENB'!T9</f>
        <v/>
      </c>
      <c r="U42" s="12">
        <f>'TENB'!U9</f>
        <v/>
      </c>
      <c r="V42" s="12">
        <f>'TENB'!V9</f>
        <v/>
      </c>
      <c r="W42" s="13">
        <f>'TENB'!W9</f>
        <v/>
      </c>
      <c r="X42" s="7" t="n"/>
      <c r="Z42" s="12">
        <f>'TENB'!O23</f>
        <v/>
      </c>
      <c r="AA42" s="12">
        <f>'TENB'!O15</f>
        <v/>
      </c>
      <c r="AB42" s="14">
        <f>IFERROR((Z42-AA42)/AA42,"-")</f>
        <v/>
      </c>
    </row>
    <row r="43">
      <c r="A43" s="9" t="inlineStr">
        <is>
          <t>GTLB</t>
        </is>
      </c>
      <c r="B43" s="10" t="n">
        <v>0.0277</v>
      </c>
      <c r="C43" s="9" t="inlineStr">
        <is>
          <t>STABLE</t>
        </is>
      </c>
      <c r="D43" s="11">
        <f>'GTLB'!D9</f>
        <v/>
      </c>
      <c r="E43" s="12">
        <f>'GTLB'!E9</f>
        <v/>
      </c>
      <c r="F43" s="12">
        <f>'GTLB'!F9</f>
        <v/>
      </c>
      <c r="G43" s="12">
        <f>'GTLB'!G9</f>
        <v/>
      </c>
      <c r="H43" s="13">
        <f>'GTLB'!H9</f>
        <v/>
      </c>
      <c r="I43" s="11">
        <f>'GTLB'!I9</f>
        <v/>
      </c>
      <c r="J43" s="12">
        <f>'GTLB'!J9</f>
        <v/>
      </c>
      <c r="K43" s="12">
        <f>'GTLB'!K9</f>
        <v/>
      </c>
      <c r="L43" s="12">
        <f>'GTLB'!L9</f>
        <v/>
      </c>
      <c r="M43" s="13">
        <f>'GTLB'!M9</f>
        <v/>
      </c>
      <c r="N43" s="11">
        <f>'GTLB'!N9</f>
        <v/>
      </c>
      <c r="O43" s="12">
        <f>'GTLB'!O9</f>
        <v/>
      </c>
      <c r="P43" s="12">
        <f>'GTLB'!P9</f>
        <v/>
      </c>
      <c r="Q43" s="12">
        <f>'GTLB'!Q9</f>
        <v/>
      </c>
      <c r="R43" s="13">
        <f>'GTLB'!R9</f>
        <v/>
      </c>
      <c r="S43" s="11">
        <f>'GTLB'!S9</f>
        <v/>
      </c>
      <c r="T43" s="12">
        <f>'GTLB'!T9</f>
        <v/>
      </c>
      <c r="U43" s="12">
        <f>'GTLB'!U9</f>
        <v/>
      </c>
      <c r="V43" s="12">
        <f>'GTLB'!V9</f>
        <v/>
      </c>
      <c r="W43" s="13">
        <f>'GTLB'!W9</f>
        <v/>
      </c>
      <c r="X43" s="11">
        <f>'GTLB'!X9</f>
        <v/>
      </c>
      <c r="Z43" s="12">
        <f>'GTLB'!P23</f>
        <v/>
      </c>
      <c r="AA43" s="12">
        <f>'GTLB'!P15</f>
        <v/>
      </c>
      <c r="AB43" s="14">
        <f>IFERROR((Z43-AA43)/AA43,"-")</f>
        <v/>
      </c>
    </row>
    <row r="44">
      <c r="A44" s="9" t="inlineStr">
        <is>
          <t>DOCN</t>
        </is>
      </c>
      <c r="B44" s="10" t="n">
        <v>-0.0086</v>
      </c>
      <c r="C44" s="15" t="inlineStr">
        <is>
          <t>ACCELERATING</t>
        </is>
      </c>
      <c r="D44" s="11">
        <f>'DOCN'!D9</f>
        <v/>
      </c>
      <c r="E44" s="12">
        <f>'DOCN'!E9</f>
        <v/>
      </c>
      <c r="F44" s="12">
        <f>'DOCN'!F9</f>
        <v/>
      </c>
      <c r="G44" s="12">
        <f>'DOCN'!G9</f>
        <v/>
      </c>
      <c r="H44" s="13">
        <f>'DOCN'!H9</f>
        <v/>
      </c>
      <c r="I44" s="11">
        <f>'DOCN'!I9</f>
        <v/>
      </c>
      <c r="J44" s="12">
        <f>'DOCN'!J9</f>
        <v/>
      </c>
      <c r="K44" s="12">
        <f>'DOCN'!K9</f>
        <v/>
      </c>
      <c r="L44" s="12">
        <f>'DOCN'!L9</f>
        <v/>
      </c>
      <c r="M44" s="13">
        <f>'DOCN'!M9</f>
        <v/>
      </c>
      <c r="N44" s="11">
        <f>'DOCN'!N9</f>
        <v/>
      </c>
      <c r="O44" s="12">
        <f>'DOCN'!O9</f>
        <v/>
      </c>
      <c r="P44" s="12">
        <f>'DOCN'!P9</f>
        <v/>
      </c>
      <c r="Q44" s="12">
        <f>'DOCN'!Q9</f>
        <v/>
      </c>
      <c r="R44" s="13">
        <f>'DOCN'!R9</f>
        <v/>
      </c>
      <c r="S44" s="11">
        <f>'DOCN'!S9</f>
        <v/>
      </c>
      <c r="T44" s="12">
        <f>'DOCN'!T9</f>
        <v/>
      </c>
      <c r="U44" s="12">
        <f>'DOCN'!U9</f>
        <v/>
      </c>
      <c r="V44" s="12">
        <f>'DOCN'!V9</f>
        <v/>
      </c>
      <c r="W44" s="13">
        <f>'DOCN'!W9</f>
        <v/>
      </c>
      <c r="X44" s="7" t="n"/>
      <c r="Z44" s="12">
        <f>'DOCN'!O23</f>
        <v/>
      </c>
      <c r="AA44" s="12">
        <f>'DOCN'!O15</f>
        <v/>
      </c>
      <c r="AB44" s="14">
        <f>IFERROR((Z44-AA44)/AA44,"-")</f>
        <v/>
      </c>
    </row>
    <row r="45">
      <c r="A45" s="9" t="inlineStr">
        <is>
          <t>SPSC</t>
        </is>
      </c>
      <c r="B45" s="10" t="n">
        <v>-0.0004</v>
      </c>
      <c r="C45" s="9" t="inlineStr">
        <is>
          <t>STABLE</t>
        </is>
      </c>
      <c r="D45" s="11">
        <f>'SPSC'!D9</f>
        <v/>
      </c>
      <c r="E45" s="12">
        <f>'SPSC'!E9</f>
        <v/>
      </c>
      <c r="F45" s="12">
        <f>'SPSC'!F9</f>
        <v/>
      </c>
      <c r="G45" s="12">
        <f>'SPSC'!G9</f>
        <v/>
      </c>
      <c r="H45" s="13">
        <f>'SPSC'!H9</f>
        <v/>
      </c>
      <c r="I45" s="11">
        <f>'SPSC'!I9</f>
        <v/>
      </c>
      <c r="J45" s="12">
        <f>'SPSC'!J9</f>
        <v/>
      </c>
      <c r="K45" s="12">
        <f>'SPSC'!K9</f>
        <v/>
      </c>
      <c r="L45" s="12">
        <f>'SPSC'!L9</f>
        <v/>
      </c>
      <c r="M45" s="13">
        <f>'SPSC'!M9</f>
        <v/>
      </c>
      <c r="N45" s="11">
        <f>'SPSC'!N9</f>
        <v/>
      </c>
      <c r="O45" s="12">
        <f>'SPSC'!O9</f>
        <v/>
      </c>
      <c r="P45" s="12">
        <f>'SPSC'!P9</f>
        <v/>
      </c>
      <c r="Q45" s="12">
        <f>'SPSC'!Q9</f>
        <v/>
      </c>
      <c r="R45" s="13">
        <f>'SPSC'!R9</f>
        <v/>
      </c>
      <c r="S45" s="11">
        <f>'SPSC'!S9</f>
        <v/>
      </c>
      <c r="T45" s="12">
        <f>'SPSC'!T9</f>
        <v/>
      </c>
      <c r="U45" s="12">
        <f>'SPSC'!U9</f>
        <v/>
      </c>
      <c r="V45" s="12">
        <f>'SPSC'!V9</f>
        <v/>
      </c>
      <c r="W45" s="13">
        <f>'SPSC'!W9</f>
        <v/>
      </c>
      <c r="X45" s="7" t="n"/>
      <c r="Z45" s="12">
        <f>'SPSC'!O23</f>
        <v/>
      </c>
      <c r="AA45" s="12">
        <f>'SPSC'!O15</f>
        <v/>
      </c>
      <c r="AB45" s="14">
        <f>IFERROR((Z45-AA45)/AA45,"-")</f>
        <v/>
      </c>
    </row>
    <row r="46">
      <c r="A46" s="9" t="inlineStr">
        <is>
          <t>BRZE</t>
        </is>
      </c>
      <c r="B46" s="10" t="n">
        <v>0.0227</v>
      </c>
      <c r="C46" s="9" t="inlineStr">
        <is>
          <t>STABLE</t>
        </is>
      </c>
      <c r="D46" s="11">
        <f>'BRZE'!D9</f>
        <v/>
      </c>
      <c r="E46" s="12">
        <f>'BRZE'!E9</f>
        <v/>
      </c>
      <c r="F46" s="12">
        <f>'BRZE'!F9</f>
        <v/>
      </c>
      <c r="G46" s="12">
        <f>'BRZE'!G9</f>
        <v/>
      </c>
      <c r="H46" s="13">
        <f>'BRZE'!H9</f>
        <v/>
      </c>
      <c r="I46" s="11">
        <f>'BRZE'!I9</f>
        <v/>
      </c>
      <c r="J46" s="12">
        <f>'BRZE'!J9</f>
        <v/>
      </c>
      <c r="K46" s="12">
        <f>'BRZE'!K9</f>
        <v/>
      </c>
      <c r="L46" s="12">
        <f>'BRZE'!L9</f>
        <v/>
      </c>
      <c r="M46" s="13">
        <f>'BRZE'!M9</f>
        <v/>
      </c>
      <c r="N46" s="11">
        <f>'BRZE'!N9</f>
        <v/>
      </c>
      <c r="O46" s="12">
        <f>'BRZE'!O9</f>
        <v/>
      </c>
      <c r="P46" s="12">
        <f>'BRZE'!P9</f>
        <v/>
      </c>
      <c r="Q46" s="12">
        <f>'BRZE'!Q9</f>
        <v/>
      </c>
      <c r="R46" s="13">
        <f>'BRZE'!R9</f>
        <v/>
      </c>
      <c r="S46" s="11">
        <f>'BRZE'!S9</f>
        <v/>
      </c>
      <c r="T46" s="12">
        <f>'BRZE'!T9</f>
        <v/>
      </c>
      <c r="U46" s="12">
        <f>'BRZE'!U9</f>
        <v/>
      </c>
      <c r="V46" s="12">
        <f>'BRZE'!V9</f>
        <v/>
      </c>
      <c r="W46" s="13">
        <f>'BRZE'!W9</f>
        <v/>
      </c>
      <c r="X46" s="11">
        <f>'BRZE'!X9</f>
        <v/>
      </c>
      <c r="Z46" s="12">
        <f>'BRZE'!P23</f>
        <v/>
      </c>
      <c r="AA46" s="12">
        <f>'BRZE'!P15</f>
        <v/>
      </c>
      <c r="AB46" s="14">
        <f>IFERROR((Z46-AA46)/AA46,"-")</f>
        <v/>
      </c>
    </row>
    <row r="47">
      <c r="A47" s="9" t="inlineStr">
        <is>
          <t>CWAN</t>
        </is>
      </c>
      <c r="B47" s="10" t="n">
        <v>-0.0331</v>
      </c>
      <c r="C47" s="16" t="inlineStr">
        <is>
          <t>DECELERATING</t>
        </is>
      </c>
      <c r="D47" s="11">
        <f>'CWAN'!D9</f>
        <v/>
      </c>
      <c r="E47" s="12">
        <f>'CWAN'!E9</f>
        <v/>
      </c>
      <c r="F47" s="12">
        <f>'CWAN'!F9</f>
        <v/>
      </c>
      <c r="G47" s="12">
        <f>'CWAN'!G9</f>
        <v/>
      </c>
      <c r="H47" s="13">
        <f>'CWAN'!H9</f>
        <v/>
      </c>
      <c r="I47" s="11">
        <f>'CWAN'!I9</f>
        <v/>
      </c>
      <c r="J47" s="12">
        <f>'CWAN'!J9</f>
        <v/>
      </c>
      <c r="K47" s="12">
        <f>'CWAN'!K9</f>
        <v/>
      </c>
      <c r="L47" s="12">
        <f>'CWAN'!L9</f>
        <v/>
      </c>
      <c r="M47" s="13">
        <f>'CWAN'!M9</f>
        <v/>
      </c>
      <c r="N47" s="11">
        <f>'CWAN'!N9</f>
        <v/>
      </c>
      <c r="O47" s="12">
        <f>'CWAN'!O9</f>
        <v/>
      </c>
      <c r="P47" s="12">
        <f>'CWAN'!P9</f>
        <v/>
      </c>
      <c r="Q47" s="12">
        <f>'CWAN'!Q9</f>
        <v/>
      </c>
      <c r="R47" s="13">
        <f>'CWAN'!R9</f>
        <v/>
      </c>
      <c r="S47" s="11">
        <f>'CWAN'!S9</f>
        <v/>
      </c>
      <c r="T47" s="12">
        <f>'CWAN'!T9</f>
        <v/>
      </c>
      <c r="U47" s="12">
        <f>'CWAN'!U9</f>
        <v/>
      </c>
      <c r="V47" s="12">
        <f>'CWAN'!V9</f>
        <v/>
      </c>
      <c r="W47" s="13">
        <f>'CWAN'!W9</f>
        <v/>
      </c>
      <c r="X47" s="7" t="n"/>
      <c r="Z47" s="12">
        <f>'CWAN'!O23</f>
        <v/>
      </c>
      <c r="AA47" s="12">
        <f>'CWAN'!O15</f>
        <v/>
      </c>
      <c r="AB47" s="14">
        <f>IFERROR((Z47-AA47)/AA47,"-")</f>
        <v/>
      </c>
    </row>
    <row r="48">
      <c r="A48" s="9" t="inlineStr">
        <is>
          <t>APPN</t>
        </is>
      </c>
      <c r="B48" s="10" t="n">
        <v>0.005600000000000001</v>
      </c>
      <c r="C48" s="9" t="inlineStr">
        <is>
          <t>STABLE</t>
        </is>
      </c>
      <c r="D48" s="11">
        <f>'APPN'!D9</f>
        <v/>
      </c>
      <c r="E48" s="12">
        <f>'APPN'!E9</f>
        <v/>
      </c>
      <c r="F48" s="12">
        <f>'APPN'!F9</f>
        <v/>
      </c>
      <c r="G48" s="12">
        <f>'APPN'!G9</f>
        <v/>
      </c>
      <c r="H48" s="13">
        <f>'APPN'!H9</f>
        <v/>
      </c>
      <c r="I48" s="11">
        <f>'APPN'!I9</f>
        <v/>
      </c>
      <c r="J48" s="12">
        <f>'APPN'!J9</f>
        <v/>
      </c>
      <c r="K48" s="12">
        <f>'APPN'!K9</f>
        <v/>
      </c>
      <c r="L48" s="12">
        <f>'APPN'!L9</f>
        <v/>
      </c>
      <c r="M48" s="13">
        <f>'APPN'!M9</f>
        <v/>
      </c>
      <c r="N48" s="11">
        <f>'APPN'!N9</f>
        <v/>
      </c>
      <c r="O48" s="12">
        <f>'APPN'!O9</f>
        <v/>
      </c>
      <c r="P48" s="12">
        <f>'APPN'!P9</f>
        <v/>
      </c>
      <c r="Q48" s="12">
        <f>'APPN'!Q9</f>
        <v/>
      </c>
      <c r="R48" s="13">
        <f>'APPN'!R9</f>
        <v/>
      </c>
      <c r="S48" s="11">
        <f>'APPN'!S9</f>
        <v/>
      </c>
      <c r="T48" s="12">
        <f>'APPN'!T9</f>
        <v/>
      </c>
      <c r="U48" s="12">
        <f>'APPN'!U9</f>
        <v/>
      </c>
      <c r="V48" s="12">
        <f>'APPN'!V9</f>
        <v/>
      </c>
      <c r="W48" s="13">
        <f>'APPN'!W9</f>
        <v/>
      </c>
      <c r="X48" s="7" t="n"/>
      <c r="Z48" s="12">
        <f>'APPN'!O23</f>
        <v/>
      </c>
      <c r="AA48" s="12">
        <f>'APPN'!O15</f>
        <v/>
      </c>
      <c r="AB48" s="14">
        <f>IFERROR((Z48-AA48)/AA48,"-")</f>
        <v/>
      </c>
    </row>
    <row r="49">
      <c r="A49" s="9" t="inlineStr">
        <is>
          <t>QLYS</t>
        </is>
      </c>
      <c r="B49" s="10" t="n">
        <v>0.0067</v>
      </c>
      <c r="C49" s="9" t="inlineStr">
        <is>
          <t>STABLE</t>
        </is>
      </c>
      <c r="D49" s="11">
        <f>'QLYS'!D9</f>
        <v/>
      </c>
      <c r="E49" s="12">
        <f>'QLYS'!E9</f>
        <v/>
      </c>
      <c r="F49" s="12">
        <f>'QLYS'!F9</f>
        <v/>
      </c>
      <c r="G49" s="12">
        <f>'QLYS'!G9</f>
        <v/>
      </c>
      <c r="H49" s="13">
        <f>'QLYS'!H9</f>
        <v/>
      </c>
      <c r="I49" s="11">
        <f>'QLYS'!I9</f>
        <v/>
      </c>
      <c r="J49" s="12">
        <f>'QLYS'!J9</f>
        <v/>
      </c>
      <c r="K49" s="12">
        <f>'QLYS'!K9</f>
        <v/>
      </c>
      <c r="L49" s="12">
        <f>'QLYS'!L9</f>
        <v/>
      </c>
      <c r="M49" s="13">
        <f>'QLYS'!M9</f>
        <v/>
      </c>
      <c r="N49" s="11">
        <f>'QLYS'!N9</f>
        <v/>
      </c>
      <c r="O49" s="12">
        <f>'QLYS'!O9</f>
        <v/>
      </c>
      <c r="P49" s="12">
        <f>'QLYS'!P9</f>
        <v/>
      </c>
      <c r="Q49" s="12">
        <f>'QLYS'!Q9</f>
        <v/>
      </c>
      <c r="R49" s="13">
        <f>'QLYS'!R9</f>
        <v/>
      </c>
      <c r="S49" s="11">
        <f>'QLYS'!S9</f>
        <v/>
      </c>
      <c r="T49" s="12">
        <f>'QLYS'!T9</f>
        <v/>
      </c>
      <c r="U49" s="12">
        <f>'QLYS'!U9</f>
        <v/>
      </c>
      <c r="V49" s="12">
        <f>'QLYS'!V9</f>
        <v/>
      </c>
      <c r="W49" s="13">
        <f>'QLYS'!W9</f>
        <v/>
      </c>
      <c r="X49" s="7" t="n"/>
      <c r="Z49" s="12">
        <f>'QLYS'!O23</f>
        <v/>
      </c>
      <c r="AA49" s="12">
        <f>'QLYS'!O15</f>
        <v/>
      </c>
      <c r="AB49" s="14">
        <f>IFERROR((Z49-AA49)/AA49,"-")</f>
        <v/>
      </c>
    </row>
    <row r="50">
      <c r="A50" s="9" t="inlineStr">
        <is>
          <t>NCNO</t>
        </is>
      </c>
      <c r="B50" s="10" t="n">
        <v>0.0154</v>
      </c>
      <c r="C50" s="16" t="inlineStr">
        <is>
          <t>DECELERATING</t>
        </is>
      </c>
      <c r="D50" s="11">
        <f>'NCNO'!D9</f>
        <v/>
      </c>
      <c r="E50" s="12">
        <f>'NCNO'!E9</f>
        <v/>
      </c>
      <c r="F50" s="12">
        <f>'NCNO'!F9</f>
        <v/>
      </c>
      <c r="G50" s="12">
        <f>'NCNO'!G9</f>
        <v/>
      </c>
      <c r="H50" s="13">
        <f>'NCNO'!H9</f>
        <v/>
      </c>
      <c r="I50" s="11">
        <f>'NCNO'!I9</f>
        <v/>
      </c>
      <c r="J50" s="12">
        <f>'NCNO'!J9</f>
        <v/>
      </c>
      <c r="K50" s="12">
        <f>'NCNO'!K9</f>
        <v/>
      </c>
      <c r="L50" s="12">
        <f>'NCNO'!L9</f>
        <v/>
      </c>
      <c r="M50" s="13">
        <f>'NCNO'!M9</f>
        <v/>
      </c>
      <c r="N50" s="11">
        <f>'NCNO'!N9</f>
        <v/>
      </c>
      <c r="O50" s="12">
        <f>'NCNO'!O9</f>
        <v/>
      </c>
      <c r="P50" s="12">
        <f>'NCNO'!P9</f>
        <v/>
      </c>
      <c r="Q50" s="12">
        <f>'NCNO'!Q9</f>
        <v/>
      </c>
      <c r="R50" s="13">
        <f>'NCNO'!R9</f>
        <v/>
      </c>
      <c r="S50" s="11">
        <f>'NCNO'!S9</f>
        <v/>
      </c>
      <c r="T50" s="12">
        <f>'NCNO'!T9</f>
        <v/>
      </c>
      <c r="U50" s="12">
        <f>'NCNO'!U9</f>
        <v/>
      </c>
      <c r="V50" s="12">
        <f>'NCNO'!V9</f>
        <v/>
      </c>
      <c r="W50" s="13">
        <f>'NCNO'!W9</f>
        <v/>
      </c>
      <c r="X50" s="11">
        <f>'NCNO'!X9</f>
        <v/>
      </c>
      <c r="Z50" s="12">
        <f>'NCNO'!P23</f>
        <v/>
      </c>
      <c r="AA50" s="12">
        <f>'NCNO'!P15</f>
        <v/>
      </c>
      <c r="AB50" s="14">
        <f>IFERROR((Z50-AA50)/AA50,"-")</f>
        <v/>
      </c>
    </row>
    <row r="51">
      <c r="A51" s="9" t="inlineStr">
        <is>
          <t>FROG</t>
        </is>
      </c>
      <c r="B51" s="10" t="n">
        <v>0.0386</v>
      </c>
      <c r="C51" s="9" t="inlineStr">
        <is>
          <t>STABLE</t>
        </is>
      </c>
      <c r="D51" s="11">
        <f>'FROG'!D9</f>
        <v/>
      </c>
      <c r="E51" s="12">
        <f>'FROG'!E9</f>
        <v/>
      </c>
      <c r="F51" s="12">
        <f>'FROG'!F9</f>
        <v/>
      </c>
      <c r="G51" s="12">
        <f>'FROG'!G9</f>
        <v/>
      </c>
      <c r="H51" s="13">
        <f>'FROG'!H9</f>
        <v/>
      </c>
      <c r="I51" s="11">
        <f>'FROG'!I9</f>
        <v/>
      </c>
      <c r="J51" s="12">
        <f>'FROG'!J9</f>
        <v/>
      </c>
      <c r="K51" s="12">
        <f>'FROG'!K9</f>
        <v/>
      </c>
      <c r="L51" s="12">
        <f>'FROG'!L9</f>
        <v/>
      </c>
      <c r="M51" s="13">
        <f>'FROG'!M9</f>
        <v/>
      </c>
      <c r="N51" s="11">
        <f>'FROG'!N9</f>
        <v/>
      </c>
      <c r="O51" s="12">
        <f>'FROG'!O9</f>
        <v/>
      </c>
      <c r="P51" s="12">
        <f>'FROG'!P9</f>
        <v/>
      </c>
      <c r="Q51" s="12">
        <f>'FROG'!Q9</f>
        <v/>
      </c>
      <c r="R51" s="13">
        <f>'FROG'!R9</f>
        <v/>
      </c>
      <c r="S51" s="11">
        <f>'FROG'!S9</f>
        <v/>
      </c>
      <c r="T51" s="12">
        <f>'FROG'!T9</f>
        <v/>
      </c>
      <c r="U51" s="12">
        <f>'FROG'!U9</f>
        <v/>
      </c>
      <c r="V51" s="12">
        <f>'FROG'!V9</f>
        <v/>
      </c>
      <c r="W51" s="13">
        <f>'FROG'!W9</f>
        <v/>
      </c>
      <c r="X51" s="7" t="n"/>
      <c r="Z51" s="12">
        <f>'FROG'!O23</f>
        <v/>
      </c>
      <c r="AA51" s="12">
        <f>'FROG'!O15</f>
        <v/>
      </c>
      <c r="AB51" s="14">
        <f>IFERROR((Z51-AA51)/AA51,"-")</f>
        <v/>
      </c>
    </row>
    <row r="52">
      <c r="A52" s="17" t="inlineStr">
        <is>
          <t>Total Revenue</t>
        </is>
      </c>
      <c r="B52" s="18" t="n"/>
      <c r="C52" s="18" t="n"/>
      <c r="D52" s="19">
        <f>SUM(D4:D51)</f>
        <v/>
      </c>
      <c r="E52" s="20">
        <f>SUM(E4:E51)</f>
        <v/>
      </c>
      <c r="F52" s="20">
        <f>SUM(F4:F51)</f>
        <v/>
      </c>
      <c r="G52" s="20">
        <f>SUM(G4:G51)</f>
        <v/>
      </c>
      <c r="H52" s="21">
        <f>SUM(D52:G52)</f>
        <v/>
      </c>
      <c r="I52" s="19">
        <f>SUM(I4:I51)</f>
        <v/>
      </c>
      <c r="J52" s="20">
        <f>SUM(J4:J51)</f>
        <v/>
      </c>
      <c r="K52" s="20">
        <f>SUM(K4:K51)</f>
        <v/>
      </c>
      <c r="L52" s="20">
        <f>SUM(L4:L51)</f>
        <v/>
      </c>
      <c r="M52" s="21">
        <f>SUM(I52:L52)</f>
        <v/>
      </c>
      <c r="N52" s="19">
        <f>SUM(N4:N51)</f>
        <v/>
      </c>
      <c r="O52" s="20">
        <f>SUM(O4:O51)</f>
        <v/>
      </c>
      <c r="P52" s="20">
        <f>SUM(P4:P51)</f>
        <v/>
      </c>
      <c r="Q52" s="20">
        <f>SUM(Q4:Q51)</f>
        <v/>
      </c>
      <c r="R52" s="21">
        <f>SUM(N52:Q52)</f>
        <v/>
      </c>
      <c r="S52" s="19">
        <f>SUM(S4:S51)</f>
        <v/>
      </c>
      <c r="T52" s="20">
        <f>SUM(T4:T51)</f>
        <v/>
      </c>
      <c r="U52" s="20">
        <f>SUM(U4:U51)</f>
        <v/>
      </c>
      <c r="V52" s="20">
        <f>SUM(V4:V51)</f>
        <v/>
      </c>
      <c r="W52" s="21">
        <f>SUM(S52:V52)</f>
        <v/>
      </c>
      <c r="X52" s="19">
        <f>SUM(X4:X51)</f>
        <v/>
      </c>
    </row>
    <row r="53">
      <c r="A53" s="2" t="inlineStr">
        <is>
          <t>Avg % YoY Growth</t>
        </is>
      </c>
      <c r="D53" s="7" t="n"/>
      <c r="H53" s="8" t="n"/>
      <c r="I53" s="22">
        <f>IFERROR((I52-D52)/D52,"-")</f>
        <v/>
      </c>
      <c r="J53" s="14">
        <f>IFERROR((J52-E52)/E52,"-")</f>
        <v/>
      </c>
      <c r="K53" s="14">
        <f>IFERROR((K52-F52)/F52,"-")</f>
        <v/>
      </c>
      <c r="L53" s="14">
        <f>IFERROR((L52-G52)/G52,"-")</f>
        <v/>
      </c>
      <c r="M53" s="23">
        <f>IFERROR((M52-H52)/H52,"-")</f>
        <v/>
      </c>
      <c r="N53" s="22">
        <f>IFERROR((N52-I52)/I52,"-")</f>
        <v/>
      </c>
      <c r="O53" s="14">
        <f>IFERROR((O52-J52)/J52,"-")</f>
        <v/>
      </c>
      <c r="P53" s="14">
        <f>IFERROR((P52-K52)/K52,"-")</f>
        <v/>
      </c>
      <c r="Q53" s="14">
        <f>IFERROR((Q52-L52)/L52,"-")</f>
        <v/>
      </c>
      <c r="R53" s="23">
        <f>IFERROR((R52-M52)/M52,"-")</f>
        <v/>
      </c>
      <c r="S53" s="22">
        <f>IFERROR((S52-N52)/N52,"-")</f>
        <v/>
      </c>
      <c r="T53" s="14">
        <f>IFERROR((T52-O52)/O52,"-")</f>
        <v/>
      </c>
      <c r="U53" s="14">
        <f>IFERROR((U52-P52)/P52,"-")</f>
        <v/>
      </c>
      <c r="V53" s="14">
        <f>IFERROR((V52-Q52)/Q52,"-")</f>
        <v/>
      </c>
      <c r="W53" s="23">
        <f>IFERROR((W52-R52)/R52,"-")</f>
        <v/>
      </c>
      <c r="X53" s="22">
        <f>IFERROR((X52-S52)/S52,"-")</f>
        <v/>
      </c>
    </row>
    <row r="54">
      <c r="D54" s="7" t="n"/>
      <c r="H54" s="8" t="n"/>
      <c r="I54" s="7" t="n"/>
      <c r="M54" s="8" t="n"/>
      <c r="N54" s="7" t="n"/>
      <c r="R54" s="8" t="n"/>
      <c r="S54" s="7" t="n"/>
      <c r="W54" s="8" t="n"/>
      <c r="X54" s="7" t="n"/>
    </row>
    <row r="55">
      <c r="A55" s="3" t="inlineStr">
        <is>
          <t>% YoY</t>
        </is>
      </c>
      <c r="D55" s="7" t="n"/>
      <c r="H55" s="8" t="n"/>
      <c r="I55" s="7" t="n"/>
      <c r="M55" s="8" t="n"/>
      <c r="N55" s="7" t="n"/>
      <c r="R55" s="8" t="n"/>
      <c r="S55" s="7" t="n"/>
      <c r="W55" s="8" t="n"/>
      <c r="X55" s="7" t="n"/>
    </row>
    <row r="56">
      <c r="A56" s="9" t="inlineStr">
        <is>
          <t>ADBE</t>
        </is>
      </c>
      <c r="D56" s="7" t="n"/>
      <c r="H56" s="8" t="n"/>
      <c r="I56" s="22">
        <f>IFERROR((I4-D4)/D4,"-")</f>
        <v/>
      </c>
      <c r="J56" s="14">
        <f>IFERROR((J4-E4)/E4,"-")</f>
        <v/>
      </c>
      <c r="K56" s="14">
        <f>IFERROR((K4-F4)/F4,"-")</f>
        <v/>
      </c>
      <c r="L56" s="14">
        <f>IFERROR((L4-G4)/G4,"-")</f>
        <v/>
      </c>
      <c r="M56" s="23">
        <f>IFERROR((M4-H4)/H4,"-")</f>
        <v/>
      </c>
      <c r="N56" s="22">
        <f>IFERROR((N4-I4)/I4,"-")</f>
        <v/>
      </c>
      <c r="O56" s="14">
        <f>IFERROR((O4-J4)/J4,"-")</f>
        <v/>
      </c>
      <c r="P56" s="14">
        <f>IFERROR((P4-K4)/K4,"-")</f>
        <v/>
      </c>
      <c r="Q56" s="14">
        <f>IFERROR((Q4-L4)/L4,"-")</f>
        <v/>
      </c>
      <c r="R56" s="23">
        <f>IFERROR((R4-M4)/M4,"-")</f>
        <v/>
      </c>
      <c r="S56" s="22">
        <f>IFERROR((S4-N4)/N4,"-")</f>
        <v/>
      </c>
      <c r="T56" s="14">
        <f>IFERROR((T4-O4)/O4,"-")</f>
        <v/>
      </c>
      <c r="U56" s="14">
        <f>IFERROR((U4-P4)/P4,"-")</f>
        <v/>
      </c>
      <c r="V56" s="14">
        <f>IFERROR((V4-Q4)/Q4,"-")</f>
        <v/>
      </c>
      <c r="W56" s="23">
        <f>IFERROR((W4-R4)/R4,"-")</f>
        <v/>
      </c>
      <c r="X56" s="22">
        <f>IFERROR((X4-S4)/S4,"-")</f>
        <v/>
      </c>
    </row>
    <row r="57">
      <c r="A57" s="9" t="inlineStr">
        <is>
          <t>INTU</t>
        </is>
      </c>
      <c r="D57" s="7" t="n"/>
      <c r="H57" s="8" t="n"/>
      <c r="I57" s="22">
        <f>IFERROR((I5-D5)/D5,"-")</f>
        <v/>
      </c>
      <c r="J57" s="14">
        <f>IFERROR((J5-E5)/E5,"-")</f>
        <v/>
      </c>
      <c r="K57" s="14">
        <f>IFERROR((K5-F5)/F5,"-")</f>
        <v/>
      </c>
      <c r="L57" s="14">
        <f>IFERROR((L5-G5)/G5,"-")</f>
        <v/>
      </c>
      <c r="M57" s="23">
        <f>IFERROR((M5-H5)/H5,"-")</f>
        <v/>
      </c>
      <c r="N57" s="22">
        <f>IFERROR((N5-I5)/I5,"-")</f>
        <v/>
      </c>
      <c r="O57" s="14">
        <f>IFERROR((O5-J5)/J5,"-")</f>
        <v/>
      </c>
      <c r="P57" s="14">
        <f>IFERROR((P5-K5)/K5,"-")</f>
        <v/>
      </c>
      <c r="Q57" s="14">
        <f>IFERROR((Q5-L5)/L5,"-")</f>
        <v/>
      </c>
      <c r="R57" s="23">
        <f>IFERROR((R5-M5)/M5,"-")</f>
        <v/>
      </c>
      <c r="S57" s="22">
        <f>IFERROR((S5-N5)/N5,"-")</f>
        <v/>
      </c>
      <c r="T57" s="14">
        <f>IFERROR((T5-O5)/O5,"-")</f>
        <v/>
      </c>
      <c r="U57" s="14">
        <f>IFERROR((U5-P5)/P5,"-")</f>
        <v/>
      </c>
      <c r="V57" s="14">
        <f>IFERROR((V5-Q5)/Q5,"-")</f>
        <v/>
      </c>
      <c r="W57" s="23">
        <f>IFERROR((W5-R5)/R5,"-")</f>
        <v/>
      </c>
      <c r="X57" s="22">
        <f>IFERROR((X5-S5)/S5,"-")</f>
        <v/>
      </c>
    </row>
    <row r="58">
      <c r="A58" s="9" t="inlineStr">
        <is>
          <t>NOW</t>
        </is>
      </c>
      <c r="D58" s="7" t="n"/>
      <c r="H58" s="8" t="n"/>
      <c r="I58" s="22">
        <f>IFERROR((I6-D6)/D6,"-")</f>
        <v/>
      </c>
      <c r="J58" s="14">
        <f>IFERROR((J6-E6)/E6,"-")</f>
        <v/>
      </c>
      <c r="K58" s="14">
        <f>IFERROR((K6-F6)/F6,"-")</f>
        <v/>
      </c>
      <c r="L58" s="14">
        <f>IFERROR((L6-G6)/G6,"-")</f>
        <v/>
      </c>
      <c r="M58" s="23">
        <f>IFERROR((M6-H6)/H6,"-")</f>
        <v/>
      </c>
      <c r="N58" s="22">
        <f>IFERROR((N6-I6)/I6,"-")</f>
        <v/>
      </c>
      <c r="O58" s="14">
        <f>IFERROR((O6-J6)/J6,"-")</f>
        <v/>
      </c>
      <c r="P58" s="14">
        <f>IFERROR((P6-K6)/K6,"-")</f>
        <v/>
      </c>
      <c r="Q58" s="14">
        <f>IFERROR((Q6-L6)/L6,"-")</f>
        <v/>
      </c>
      <c r="R58" s="23">
        <f>IFERROR((R6-M6)/M6,"-")</f>
        <v/>
      </c>
      <c r="S58" s="22">
        <f>IFERROR((S6-N6)/N6,"-")</f>
        <v/>
      </c>
      <c r="T58" s="14">
        <f>IFERROR((T6-O6)/O6,"-")</f>
        <v/>
      </c>
      <c r="U58" s="14">
        <f>IFERROR((U6-P6)/P6,"-")</f>
        <v/>
      </c>
      <c r="V58" s="14">
        <f>IFERROR((V6-Q6)/Q6,"-")</f>
        <v/>
      </c>
      <c r="W58" s="23">
        <f>IFERROR((W6-R6)/R6,"-")</f>
        <v/>
      </c>
      <c r="X58" s="22">
        <f>IFERROR((X6-S6)/S6,"-")</f>
        <v/>
      </c>
    </row>
    <row r="59">
      <c r="A59" s="9" t="inlineStr">
        <is>
          <t>PANW</t>
        </is>
      </c>
      <c r="D59" s="7" t="n"/>
      <c r="H59" s="8" t="n"/>
      <c r="I59" s="22">
        <f>IFERROR((I7-D7)/D7,"-")</f>
        <v/>
      </c>
      <c r="J59" s="14">
        <f>IFERROR((J7-E7)/E7,"-")</f>
        <v/>
      </c>
      <c r="K59" s="14">
        <f>IFERROR((K7-F7)/F7,"-")</f>
        <v/>
      </c>
      <c r="L59" s="14">
        <f>IFERROR((L7-G7)/G7,"-")</f>
        <v/>
      </c>
      <c r="M59" s="23">
        <f>IFERROR((M7-H7)/H7,"-")</f>
        <v/>
      </c>
      <c r="N59" s="22">
        <f>IFERROR((N7-I7)/I7,"-")</f>
        <v/>
      </c>
      <c r="O59" s="14">
        <f>IFERROR((O7-J7)/J7,"-")</f>
        <v/>
      </c>
      <c r="P59" s="14">
        <f>IFERROR((P7-K7)/K7,"-")</f>
        <v/>
      </c>
      <c r="Q59" s="14">
        <f>IFERROR((Q7-L7)/L7,"-")</f>
        <v/>
      </c>
      <c r="R59" s="23">
        <f>IFERROR((R7-M7)/M7,"-")</f>
        <v/>
      </c>
      <c r="S59" s="22">
        <f>IFERROR((S7-N7)/N7,"-")</f>
        <v/>
      </c>
      <c r="T59" s="14">
        <f>IFERROR((T7-O7)/O7,"-")</f>
        <v/>
      </c>
      <c r="U59" s="14">
        <f>IFERROR((U7-P7)/P7,"-")</f>
        <v/>
      </c>
      <c r="V59" s="14">
        <f>IFERROR((V7-Q7)/Q7,"-")</f>
        <v/>
      </c>
      <c r="W59" s="23">
        <f>IFERROR((W7-R7)/R7,"-")</f>
        <v/>
      </c>
      <c r="X59" s="22">
        <f>IFERROR((X7-S7)/S7,"-")</f>
        <v/>
      </c>
    </row>
    <row r="60">
      <c r="A60" s="9" t="inlineStr">
        <is>
          <t>WDAY</t>
        </is>
      </c>
      <c r="D60" s="7" t="n"/>
      <c r="H60" s="8" t="n"/>
      <c r="I60" s="22">
        <f>IFERROR((I8-D8)/D8,"-")</f>
        <v/>
      </c>
      <c r="J60" s="14">
        <f>IFERROR((J8-E8)/E8,"-")</f>
        <v/>
      </c>
      <c r="K60" s="14">
        <f>IFERROR((K8-F8)/F8,"-")</f>
        <v/>
      </c>
      <c r="L60" s="14">
        <f>IFERROR((L8-G8)/G8,"-")</f>
        <v/>
      </c>
      <c r="M60" s="23">
        <f>IFERROR((M8-H8)/H8,"-")</f>
        <v/>
      </c>
      <c r="N60" s="22">
        <f>IFERROR((N8-I8)/I8,"-")</f>
        <v/>
      </c>
      <c r="O60" s="14">
        <f>IFERROR((O8-J8)/J8,"-")</f>
        <v/>
      </c>
      <c r="P60" s="14">
        <f>IFERROR((P8-K8)/K8,"-")</f>
        <v/>
      </c>
      <c r="Q60" s="14">
        <f>IFERROR((Q8-L8)/L8,"-")</f>
        <v/>
      </c>
      <c r="R60" s="23">
        <f>IFERROR((R8-M8)/M8,"-")</f>
        <v/>
      </c>
      <c r="S60" s="22">
        <f>IFERROR((S8-N8)/N8,"-")</f>
        <v/>
      </c>
      <c r="T60" s="14">
        <f>IFERROR((T8-O8)/O8,"-")</f>
        <v/>
      </c>
      <c r="U60" s="14">
        <f>IFERROR((U8-P8)/P8,"-")</f>
        <v/>
      </c>
      <c r="V60" s="14">
        <f>IFERROR((V8-Q8)/Q8,"-")</f>
        <v/>
      </c>
      <c r="W60" s="23">
        <f>IFERROR((W8-R8)/R8,"-")</f>
        <v/>
      </c>
      <c r="X60" s="22">
        <f>IFERROR((X8-S8)/S8,"-")</f>
        <v/>
      </c>
    </row>
    <row r="61">
      <c r="A61" s="9" t="inlineStr">
        <is>
          <t>SNPS</t>
        </is>
      </c>
      <c r="D61" s="7" t="n"/>
      <c r="H61" s="8" t="n"/>
      <c r="I61" s="22">
        <f>IFERROR((I9-D9)/D9,"-")</f>
        <v/>
      </c>
      <c r="J61" s="14">
        <f>IFERROR((J9-E9)/E9,"-")</f>
        <v/>
      </c>
      <c r="K61" s="14">
        <f>IFERROR((K9-F9)/F9,"-")</f>
        <v/>
      </c>
      <c r="L61" s="14">
        <f>IFERROR((L9-G9)/G9,"-")</f>
        <v/>
      </c>
      <c r="M61" s="23">
        <f>IFERROR((M9-H9)/H9,"-")</f>
        <v/>
      </c>
      <c r="N61" s="22">
        <f>IFERROR((N9-I9)/I9,"-")</f>
        <v/>
      </c>
      <c r="O61" s="14">
        <f>IFERROR((O9-J9)/J9,"-")</f>
        <v/>
      </c>
      <c r="P61" s="14">
        <f>IFERROR((P9-K9)/K9,"-")</f>
        <v/>
      </c>
      <c r="Q61" s="14">
        <f>IFERROR((Q9-L9)/L9,"-")</f>
        <v/>
      </c>
      <c r="R61" s="23">
        <f>IFERROR((R9-M9)/M9,"-")</f>
        <v/>
      </c>
      <c r="S61" s="22">
        <f>IFERROR((S9-N9)/N9,"-")</f>
        <v/>
      </c>
      <c r="T61" s="14">
        <f>IFERROR((T9-O9)/O9,"-")</f>
        <v/>
      </c>
      <c r="U61" s="14">
        <f>IFERROR((U9-P9)/P9,"-")</f>
        <v/>
      </c>
      <c r="V61" s="14">
        <f>IFERROR((V9-Q9)/Q9,"-")</f>
        <v/>
      </c>
      <c r="W61" s="23">
        <f>IFERROR((W9-R9)/R9,"-")</f>
        <v/>
      </c>
      <c r="X61" s="22">
        <f>IFERROR((X9-S9)/S9,"-")</f>
        <v/>
      </c>
    </row>
    <row r="62">
      <c r="A62" s="9" t="inlineStr">
        <is>
          <t>ROP</t>
        </is>
      </c>
      <c r="D62" s="7" t="n"/>
      <c r="H62" s="8" t="n"/>
      <c r="I62" s="22">
        <f>IFERROR((I10-D10)/D10,"-")</f>
        <v/>
      </c>
      <c r="J62" s="14">
        <f>IFERROR((J10-E10)/E10,"-")</f>
        <v/>
      </c>
      <c r="K62" s="14">
        <f>IFERROR((K10-F10)/F10,"-")</f>
        <v/>
      </c>
      <c r="L62" s="14">
        <f>IFERROR((L10-G10)/G10,"-")</f>
        <v/>
      </c>
      <c r="M62" s="23">
        <f>IFERROR((M10-H10)/H10,"-")</f>
        <v/>
      </c>
      <c r="N62" s="22">
        <f>IFERROR((N10-I10)/I10,"-")</f>
        <v/>
      </c>
      <c r="O62" s="14">
        <f>IFERROR((O10-J10)/J10,"-")</f>
        <v/>
      </c>
      <c r="P62" s="14">
        <f>IFERROR((P10-K10)/K10,"-")</f>
        <v/>
      </c>
      <c r="Q62" s="14">
        <f>IFERROR((Q10-L10)/L10,"-")</f>
        <v/>
      </c>
      <c r="R62" s="23">
        <f>IFERROR((R10-M10)/M10,"-")</f>
        <v/>
      </c>
      <c r="S62" s="22">
        <f>IFERROR((S10-N10)/N10,"-")</f>
        <v/>
      </c>
      <c r="T62" s="14">
        <f>IFERROR((T10-O10)/O10,"-")</f>
        <v/>
      </c>
      <c r="U62" s="14">
        <f>IFERROR((U10-P10)/P10,"-")</f>
        <v/>
      </c>
      <c r="V62" s="14">
        <f>IFERROR((V10-Q10)/Q10,"-")</f>
        <v/>
      </c>
      <c r="W62" s="23">
        <f>IFERROR((W10-R10)/R10,"-")</f>
        <v/>
      </c>
      <c r="X62" s="22">
        <f>IFERROR((X10-S10)/S10,"-")</f>
        <v/>
      </c>
    </row>
    <row r="63">
      <c r="A63" s="9" t="inlineStr">
        <is>
          <t>ADSK</t>
        </is>
      </c>
      <c r="D63" s="7" t="n"/>
      <c r="H63" s="8" t="n"/>
      <c r="I63" s="22">
        <f>IFERROR((I11-D11)/D11,"-")</f>
        <v/>
      </c>
      <c r="J63" s="14">
        <f>IFERROR((J11-E11)/E11,"-")</f>
        <v/>
      </c>
      <c r="K63" s="14">
        <f>IFERROR((K11-F11)/F11,"-")</f>
        <v/>
      </c>
      <c r="L63" s="14">
        <f>IFERROR((L11-G11)/G11,"-")</f>
        <v/>
      </c>
      <c r="M63" s="23">
        <f>IFERROR((M11-H11)/H11,"-")</f>
        <v/>
      </c>
      <c r="N63" s="22">
        <f>IFERROR((N11-I11)/I11,"-")</f>
        <v/>
      </c>
      <c r="O63" s="14">
        <f>IFERROR((O11-J11)/J11,"-")</f>
        <v/>
      </c>
      <c r="P63" s="14">
        <f>IFERROR((P11-K11)/K11,"-")</f>
        <v/>
      </c>
      <c r="Q63" s="14">
        <f>IFERROR((Q11-L11)/L11,"-")</f>
        <v/>
      </c>
      <c r="R63" s="23">
        <f>IFERROR((R11-M11)/M11,"-")</f>
        <v/>
      </c>
      <c r="S63" s="22">
        <f>IFERROR((S11-N11)/N11,"-")</f>
        <v/>
      </c>
      <c r="T63" s="14">
        <f>IFERROR((T11-O11)/O11,"-")</f>
        <v/>
      </c>
      <c r="U63" s="14">
        <f>IFERROR((U11-P11)/P11,"-")</f>
        <v/>
      </c>
      <c r="V63" s="14">
        <f>IFERROR((V11-Q11)/Q11,"-")</f>
        <v/>
      </c>
      <c r="W63" s="23">
        <f>IFERROR((W11-R11)/R11,"-")</f>
        <v/>
      </c>
      <c r="X63" s="22">
        <f>IFERROR((X11-S11)/S11,"-")</f>
        <v/>
      </c>
    </row>
    <row r="64">
      <c r="A64" s="9" t="inlineStr">
        <is>
          <t>FTNT</t>
        </is>
      </c>
      <c r="D64" s="7" t="n"/>
      <c r="H64" s="8" t="n"/>
      <c r="I64" s="22">
        <f>IFERROR((I12-D12)/D12,"-")</f>
        <v/>
      </c>
      <c r="J64" s="14">
        <f>IFERROR((J12-E12)/E12,"-")</f>
        <v/>
      </c>
      <c r="K64" s="14">
        <f>IFERROR((K12-F12)/F12,"-")</f>
        <v/>
      </c>
      <c r="L64" s="14">
        <f>IFERROR((L12-G12)/G12,"-")</f>
        <v/>
      </c>
      <c r="M64" s="23">
        <f>IFERROR((M12-H12)/H12,"-")</f>
        <v/>
      </c>
      <c r="N64" s="22">
        <f>IFERROR((N12-I12)/I12,"-")</f>
        <v/>
      </c>
      <c r="O64" s="14">
        <f>IFERROR((O12-J12)/J12,"-")</f>
        <v/>
      </c>
      <c r="P64" s="14">
        <f>IFERROR((P12-K12)/K12,"-")</f>
        <v/>
      </c>
      <c r="Q64" s="14">
        <f>IFERROR((Q12-L12)/L12,"-")</f>
        <v/>
      </c>
      <c r="R64" s="23">
        <f>IFERROR((R12-M12)/M12,"-")</f>
        <v/>
      </c>
      <c r="S64" s="22">
        <f>IFERROR((S12-N12)/N12,"-")</f>
        <v/>
      </c>
      <c r="T64" s="14">
        <f>IFERROR((T12-O12)/O12,"-")</f>
        <v/>
      </c>
      <c r="U64" s="14">
        <f>IFERROR((U12-P12)/P12,"-")</f>
        <v/>
      </c>
      <c r="V64" s="14">
        <f>IFERROR((V12-Q12)/Q12,"-")</f>
        <v/>
      </c>
      <c r="W64" s="23">
        <f>IFERROR((W12-R12)/R12,"-")</f>
        <v/>
      </c>
      <c r="X64" s="22">
        <f>IFERROR((X12-S12)/S12,"-")</f>
        <v/>
      </c>
    </row>
    <row r="65">
      <c r="A65" s="9" t="inlineStr">
        <is>
          <t>TOST</t>
        </is>
      </c>
      <c r="D65" s="7" t="n"/>
      <c r="H65" s="8" t="n"/>
      <c r="I65" s="22">
        <f>IFERROR((I13-D13)/D13,"-")</f>
        <v/>
      </c>
      <c r="J65" s="14">
        <f>IFERROR((J13-E13)/E13,"-")</f>
        <v/>
      </c>
      <c r="K65" s="14">
        <f>IFERROR((K13-F13)/F13,"-")</f>
        <v/>
      </c>
      <c r="L65" s="14">
        <f>IFERROR((L13-G13)/G13,"-")</f>
        <v/>
      </c>
      <c r="M65" s="23">
        <f>IFERROR((M13-H13)/H13,"-")</f>
        <v/>
      </c>
      <c r="N65" s="22">
        <f>IFERROR((N13-I13)/I13,"-")</f>
        <v/>
      </c>
      <c r="O65" s="14">
        <f>IFERROR((O13-J13)/J13,"-")</f>
        <v/>
      </c>
      <c r="P65" s="14">
        <f>IFERROR((P13-K13)/K13,"-")</f>
        <v/>
      </c>
      <c r="Q65" s="14">
        <f>IFERROR((Q13-L13)/L13,"-")</f>
        <v/>
      </c>
      <c r="R65" s="23">
        <f>IFERROR((R13-M13)/M13,"-")</f>
        <v/>
      </c>
      <c r="S65" s="22">
        <f>IFERROR((S13-N13)/N13,"-")</f>
        <v/>
      </c>
      <c r="T65" s="14">
        <f>IFERROR((T13-O13)/O13,"-")</f>
        <v/>
      </c>
      <c r="U65" s="14">
        <f>IFERROR((U13-P13)/P13,"-")</f>
        <v/>
      </c>
      <c r="V65" s="14">
        <f>IFERROR((V13-Q13)/Q13,"-")</f>
        <v/>
      </c>
      <c r="W65" s="23">
        <f>IFERROR((W13-R13)/R13,"-")</f>
        <v/>
      </c>
      <c r="X65" s="22">
        <f>IFERROR((X13-S13)/S13,"-")</f>
        <v/>
      </c>
    </row>
    <row r="66">
      <c r="A66" s="9" t="inlineStr">
        <is>
          <t>TEAM</t>
        </is>
      </c>
      <c r="D66" s="7" t="n"/>
      <c r="H66" s="8" t="n"/>
      <c r="I66" s="22">
        <f>IFERROR((I14-D14)/D14,"-")</f>
        <v/>
      </c>
      <c r="J66" s="14">
        <f>IFERROR((J14-E14)/E14,"-")</f>
        <v/>
      </c>
      <c r="K66" s="14">
        <f>IFERROR((K14-F14)/F14,"-")</f>
        <v/>
      </c>
      <c r="L66" s="14">
        <f>IFERROR((L14-G14)/G14,"-")</f>
        <v/>
      </c>
      <c r="M66" s="23">
        <f>IFERROR((M14-H14)/H14,"-")</f>
        <v/>
      </c>
      <c r="N66" s="22">
        <f>IFERROR((N14-I14)/I14,"-")</f>
        <v/>
      </c>
      <c r="O66" s="14">
        <f>IFERROR((O14-J14)/J14,"-")</f>
        <v/>
      </c>
      <c r="P66" s="14">
        <f>IFERROR((P14-K14)/K14,"-")</f>
        <v/>
      </c>
      <c r="Q66" s="14">
        <f>IFERROR((Q14-L14)/L14,"-")</f>
        <v/>
      </c>
      <c r="R66" s="23">
        <f>IFERROR((R14-M14)/M14,"-")</f>
        <v/>
      </c>
      <c r="S66" s="22">
        <f>IFERROR((S14-N14)/N14,"-")</f>
        <v/>
      </c>
      <c r="T66" s="14">
        <f>IFERROR((T14-O14)/O14,"-")</f>
        <v/>
      </c>
      <c r="U66" s="14">
        <f>IFERROR((U14-P14)/P14,"-")</f>
        <v/>
      </c>
      <c r="V66" s="14">
        <f>IFERROR((V14-Q14)/Q14,"-")</f>
        <v/>
      </c>
      <c r="W66" s="23">
        <f>IFERROR((W14-R14)/R14,"-")</f>
        <v/>
      </c>
      <c r="X66" s="22">
        <f>IFERROR((X14-S14)/S14,"-")</f>
        <v/>
      </c>
    </row>
    <row r="67">
      <c r="A67" s="9" t="inlineStr">
        <is>
          <t>APP</t>
        </is>
      </c>
      <c r="D67" s="7" t="n"/>
      <c r="H67" s="8" t="n"/>
      <c r="I67" s="22">
        <f>IFERROR((I15-D15)/D15,"-")</f>
        <v/>
      </c>
      <c r="J67" s="14">
        <f>IFERROR((J15-E15)/E15,"-")</f>
        <v/>
      </c>
      <c r="K67" s="14">
        <f>IFERROR((K15-F15)/F15,"-")</f>
        <v/>
      </c>
      <c r="L67" s="14">
        <f>IFERROR((L15-G15)/G15,"-")</f>
        <v/>
      </c>
      <c r="M67" s="23">
        <f>IFERROR((M15-H15)/H15,"-")</f>
        <v/>
      </c>
      <c r="N67" s="22">
        <f>IFERROR((N15-I15)/I15,"-")</f>
        <v/>
      </c>
      <c r="O67" s="14">
        <f>IFERROR((O15-J15)/J15,"-")</f>
        <v/>
      </c>
      <c r="P67" s="14">
        <f>IFERROR((P15-K15)/K15,"-")</f>
        <v/>
      </c>
      <c r="Q67" s="14">
        <f>IFERROR((Q15-L15)/L15,"-")</f>
        <v/>
      </c>
      <c r="R67" s="23">
        <f>IFERROR((R15-M15)/M15,"-")</f>
        <v/>
      </c>
      <c r="S67" s="22">
        <f>IFERROR((S15-N15)/N15,"-")</f>
        <v/>
      </c>
      <c r="T67" s="14">
        <f>IFERROR((T15-O15)/O15,"-")</f>
        <v/>
      </c>
      <c r="U67" s="14">
        <f>IFERROR((U15-P15)/P15,"-")</f>
        <v/>
      </c>
      <c r="V67" s="14">
        <f>IFERROR((V15-Q15)/Q15,"-")</f>
        <v/>
      </c>
      <c r="W67" s="23">
        <f>IFERROR((W15-R15)/R15,"-")</f>
        <v/>
      </c>
      <c r="X67" s="22">
        <f>IFERROR((X15-S15)/S15,"-")</f>
        <v/>
      </c>
    </row>
    <row r="68">
      <c r="A68" s="9" t="inlineStr">
        <is>
          <t>CDNS</t>
        </is>
      </c>
      <c r="D68" s="7" t="n"/>
      <c r="H68" s="8" t="n"/>
      <c r="I68" s="22">
        <f>IFERROR((I16-D16)/D16,"-")</f>
        <v/>
      </c>
      <c r="J68" s="14">
        <f>IFERROR((J16-E16)/E16,"-")</f>
        <v/>
      </c>
      <c r="K68" s="14">
        <f>IFERROR((K16-F16)/F16,"-")</f>
        <v/>
      </c>
      <c r="L68" s="14">
        <f>IFERROR((L16-G16)/G16,"-")</f>
        <v/>
      </c>
      <c r="M68" s="23">
        <f>IFERROR((M16-H16)/H16,"-")</f>
        <v/>
      </c>
      <c r="N68" s="22">
        <f>IFERROR((N16-I16)/I16,"-")</f>
        <v/>
      </c>
      <c r="O68" s="14">
        <f>IFERROR((O16-J16)/J16,"-")</f>
        <v/>
      </c>
      <c r="P68" s="14">
        <f>IFERROR((P16-K16)/K16,"-")</f>
        <v/>
      </c>
      <c r="Q68" s="14">
        <f>IFERROR((Q16-L16)/L16,"-")</f>
        <v/>
      </c>
      <c r="R68" s="23">
        <f>IFERROR((R16-M16)/M16,"-")</f>
        <v/>
      </c>
      <c r="S68" s="22">
        <f>IFERROR((S16-N16)/N16,"-")</f>
        <v/>
      </c>
      <c r="T68" s="14">
        <f>IFERROR((T16-O16)/O16,"-")</f>
        <v/>
      </c>
      <c r="U68" s="14">
        <f>IFERROR((U16-P16)/P16,"-")</f>
        <v/>
      </c>
      <c r="V68" s="14">
        <f>IFERROR((V16-Q16)/Q16,"-")</f>
        <v/>
      </c>
      <c r="W68" s="23">
        <f>IFERROR((W16-R16)/R16,"-")</f>
        <v/>
      </c>
      <c r="X68" s="22">
        <f>IFERROR((X16-S16)/S16,"-")</f>
        <v/>
      </c>
    </row>
    <row r="69">
      <c r="A69" s="9" t="inlineStr">
        <is>
          <t>CRWD</t>
        </is>
      </c>
      <c r="D69" s="7" t="n"/>
      <c r="H69" s="8" t="n"/>
      <c r="I69" s="22">
        <f>IFERROR((I17-D17)/D17,"-")</f>
        <v/>
      </c>
      <c r="J69" s="14">
        <f>IFERROR((J17-E17)/E17,"-")</f>
        <v/>
      </c>
      <c r="K69" s="14">
        <f>IFERROR((K17-F17)/F17,"-")</f>
        <v/>
      </c>
      <c r="L69" s="14">
        <f>IFERROR((L17-G17)/G17,"-")</f>
        <v/>
      </c>
      <c r="M69" s="23">
        <f>IFERROR((M17-H17)/H17,"-")</f>
        <v/>
      </c>
      <c r="N69" s="22">
        <f>IFERROR((N17-I17)/I17,"-")</f>
        <v/>
      </c>
      <c r="O69" s="14">
        <f>IFERROR((O17-J17)/J17,"-")</f>
        <v/>
      </c>
      <c r="P69" s="14">
        <f>IFERROR((P17-K17)/K17,"-")</f>
        <v/>
      </c>
      <c r="Q69" s="14">
        <f>IFERROR((Q17-L17)/L17,"-")</f>
        <v/>
      </c>
      <c r="R69" s="23">
        <f>IFERROR((R17-M17)/M17,"-")</f>
        <v/>
      </c>
      <c r="S69" s="22">
        <f>IFERROR((S17-N17)/N17,"-")</f>
        <v/>
      </c>
      <c r="T69" s="14">
        <f>IFERROR((T17-O17)/O17,"-")</f>
        <v/>
      </c>
      <c r="U69" s="14">
        <f>IFERROR((U17-P17)/P17,"-")</f>
        <v/>
      </c>
      <c r="V69" s="14">
        <f>IFERROR((V17-Q17)/Q17,"-")</f>
        <v/>
      </c>
      <c r="W69" s="23">
        <f>IFERROR((W17-R17)/R17,"-")</f>
        <v/>
      </c>
      <c r="X69" s="22">
        <f>IFERROR((X17-S17)/S17,"-")</f>
        <v/>
      </c>
    </row>
    <row r="70">
      <c r="A70" s="9" t="inlineStr">
        <is>
          <t>SNOW</t>
        </is>
      </c>
      <c r="D70" s="7" t="n"/>
      <c r="H70" s="8" t="n"/>
      <c r="I70" s="22">
        <f>IFERROR((I18-D18)/D18,"-")</f>
        <v/>
      </c>
      <c r="J70" s="14">
        <f>IFERROR((J18-E18)/E18,"-")</f>
        <v/>
      </c>
      <c r="K70" s="14">
        <f>IFERROR((K18-F18)/F18,"-")</f>
        <v/>
      </c>
      <c r="L70" s="14">
        <f>IFERROR((L18-G18)/G18,"-")</f>
        <v/>
      </c>
      <c r="M70" s="23">
        <f>IFERROR((M18-H18)/H18,"-")</f>
        <v/>
      </c>
      <c r="N70" s="22">
        <f>IFERROR((N18-I18)/I18,"-")</f>
        <v/>
      </c>
      <c r="O70" s="14">
        <f>IFERROR((O18-J18)/J18,"-")</f>
        <v/>
      </c>
      <c r="P70" s="14">
        <f>IFERROR((P18-K18)/K18,"-")</f>
        <v/>
      </c>
      <c r="Q70" s="14">
        <f>IFERROR((Q18-L18)/L18,"-")</f>
        <v/>
      </c>
      <c r="R70" s="23">
        <f>IFERROR((R18-M18)/M18,"-")</f>
        <v/>
      </c>
      <c r="S70" s="22">
        <f>IFERROR((S18-N18)/N18,"-")</f>
        <v/>
      </c>
      <c r="T70" s="14">
        <f>IFERROR((T18-O18)/O18,"-")</f>
        <v/>
      </c>
      <c r="U70" s="14">
        <f>IFERROR((U18-P18)/P18,"-")</f>
        <v/>
      </c>
      <c r="V70" s="14">
        <f>IFERROR((V18-Q18)/Q18,"-")</f>
        <v/>
      </c>
      <c r="W70" s="23">
        <f>IFERROR((W18-R18)/R18,"-")</f>
        <v/>
      </c>
      <c r="X70" s="22">
        <f>IFERROR((X18-S18)/S18,"-")</f>
        <v/>
      </c>
    </row>
    <row r="71">
      <c r="A71" s="9" t="inlineStr">
        <is>
          <t>PLTR</t>
        </is>
      </c>
      <c r="D71" s="7" t="n"/>
      <c r="H71" s="8" t="n"/>
      <c r="I71" s="22">
        <f>IFERROR((I19-D19)/D19,"-")</f>
        <v/>
      </c>
      <c r="J71" s="14">
        <f>IFERROR((J19-E19)/E19,"-")</f>
        <v/>
      </c>
      <c r="K71" s="14">
        <f>IFERROR((K19-F19)/F19,"-")</f>
        <v/>
      </c>
      <c r="L71" s="14">
        <f>IFERROR((L19-G19)/G19,"-")</f>
        <v/>
      </c>
      <c r="M71" s="23">
        <f>IFERROR((M19-H19)/H19,"-")</f>
        <v/>
      </c>
      <c r="N71" s="22">
        <f>IFERROR((N19-I19)/I19,"-")</f>
        <v/>
      </c>
      <c r="O71" s="14">
        <f>IFERROR((O19-J19)/J19,"-")</f>
        <v/>
      </c>
      <c r="P71" s="14">
        <f>IFERROR((P19-K19)/K19,"-")</f>
        <v/>
      </c>
      <c r="Q71" s="14">
        <f>IFERROR((Q19-L19)/L19,"-")</f>
        <v/>
      </c>
      <c r="R71" s="23">
        <f>IFERROR((R19-M19)/M19,"-")</f>
        <v/>
      </c>
      <c r="S71" s="22">
        <f>IFERROR((S19-N19)/N19,"-")</f>
        <v/>
      </c>
      <c r="T71" s="14">
        <f>IFERROR((T19-O19)/O19,"-")</f>
        <v/>
      </c>
      <c r="U71" s="14">
        <f>IFERROR((U19-P19)/P19,"-")</f>
        <v/>
      </c>
      <c r="V71" s="14">
        <f>IFERROR((V19-Q19)/Q19,"-")</f>
        <v/>
      </c>
      <c r="W71" s="23">
        <f>IFERROR((W19-R19)/R19,"-")</f>
        <v/>
      </c>
      <c r="X71" s="22">
        <f>IFERROR((X19-S19)/S19,"-")</f>
        <v/>
      </c>
    </row>
    <row r="72">
      <c r="A72" s="9" t="inlineStr">
        <is>
          <t>DDOG</t>
        </is>
      </c>
      <c r="D72" s="7" t="n"/>
      <c r="H72" s="8" t="n"/>
      <c r="I72" s="22">
        <f>IFERROR((I20-D20)/D20,"-")</f>
        <v/>
      </c>
      <c r="J72" s="14">
        <f>IFERROR((J20-E20)/E20,"-")</f>
        <v/>
      </c>
      <c r="K72" s="14">
        <f>IFERROR((K20-F20)/F20,"-")</f>
        <v/>
      </c>
      <c r="L72" s="14">
        <f>IFERROR((L20-G20)/G20,"-")</f>
        <v/>
      </c>
      <c r="M72" s="23">
        <f>IFERROR((M20-H20)/H20,"-")</f>
        <v/>
      </c>
      <c r="N72" s="22">
        <f>IFERROR((N20-I20)/I20,"-")</f>
        <v/>
      </c>
      <c r="O72" s="14">
        <f>IFERROR((O20-J20)/J20,"-")</f>
        <v/>
      </c>
      <c r="P72" s="14">
        <f>IFERROR((P20-K20)/K20,"-")</f>
        <v/>
      </c>
      <c r="Q72" s="14">
        <f>IFERROR((Q20-L20)/L20,"-")</f>
        <v/>
      </c>
      <c r="R72" s="23">
        <f>IFERROR((R20-M20)/M20,"-")</f>
        <v/>
      </c>
      <c r="S72" s="22">
        <f>IFERROR((S20-N20)/N20,"-")</f>
        <v/>
      </c>
      <c r="T72" s="14">
        <f>IFERROR((T20-O20)/O20,"-")</f>
        <v/>
      </c>
      <c r="U72" s="14">
        <f>IFERROR((U20-P20)/P20,"-")</f>
        <v/>
      </c>
      <c r="V72" s="14">
        <f>IFERROR((V20-Q20)/Q20,"-")</f>
        <v/>
      </c>
      <c r="W72" s="23">
        <f>IFERROR((W20-R20)/R20,"-")</f>
        <v/>
      </c>
      <c r="X72" s="22">
        <f>IFERROR((X20-S20)/S20,"-")</f>
        <v/>
      </c>
    </row>
    <row r="73">
      <c r="A73" s="9" t="inlineStr">
        <is>
          <t>VEEV</t>
        </is>
      </c>
      <c r="D73" s="7" t="n"/>
      <c r="H73" s="8" t="n"/>
      <c r="I73" s="22">
        <f>IFERROR((I21-D21)/D21,"-")</f>
        <v/>
      </c>
      <c r="J73" s="14">
        <f>IFERROR((J21-E21)/E21,"-")</f>
        <v/>
      </c>
      <c r="K73" s="14">
        <f>IFERROR((K21-F21)/F21,"-")</f>
        <v/>
      </c>
      <c r="L73" s="14">
        <f>IFERROR((L21-G21)/G21,"-")</f>
        <v/>
      </c>
      <c r="M73" s="23">
        <f>IFERROR((M21-H21)/H21,"-")</f>
        <v/>
      </c>
      <c r="N73" s="22">
        <f>IFERROR((N21-I21)/I21,"-")</f>
        <v/>
      </c>
      <c r="O73" s="14">
        <f>IFERROR((O21-J21)/J21,"-")</f>
        <v/>
      </c>
      <c r="P73" s="14">
        <f>IFERROR((P21-K21)/K21,"-")</f>
        <v/>
      </c>
      <c r="Q73" s="14">
        <f>IFERROR((Q21-L21)/L21,"-")</f>
        <v/>
      </c>
      <c r="R73" s="23">
        <f>IFERROR((R21-M21)/M21,"-")</f>
        <v/>
      </c>
      <c r="S73" s="22">
        <f>IFERROR((S21-N21)/N21,"-")</f>
        <v/>
      </c>
      <c r="T73" s="14">
        <f>IFERROR((T21-O21)/O21,"-")</f>
        <v/>
      </c>
      <c r="U73" s="14">
        <f>IFERROR((U21-P21)/P21,"-")</f>
        <v/>
      </c>
      <c r="V73" s="14">
        <f>IFERROR((V21-Q21)/Q21,"-")</f>
        <v/>
      </c>
      <c r="W73" s="23">
        <f>IFERROR((W21-R21)/R21,"-")</f>
        <v/>
      </c>
      <c r="X73" s="22">
        <f>IFERROR((X21-S21)/S21,"-")</f>
        <v/>
      </c>
    </row>
    <row r="74">
      <c r="A74" s="9" t="inlineStr">
        <is>
          <t>HUBS</t>
        </is>
      </c>
      <c r="D74" s="7" t="n"/>
      <c r="H74" s="8" t="n"/>
      <c r="I74" s="22">
        <f>IFERROR((I22-D22)/D22,"-")</f>
        <v/>
      </c>
      <c r="J74" s="14">
        <f>IFERROR((J22-E22)/E22,"-")</f>
        <v/>
      </c>
      <c r="K74" s="14">
        <f>IFERROR((K22-F22)/F22,"-")</f>
        <v/>
      </c>
      <c r="L74" s="14">
        <f>IFERROR((L22-G22)/G22,"-")</f>
        <v/>
      </c>
      <c r="M74" s="23">
        <f>IFERROR((M22-H22)/H22,"-")</f>
        <v/>
      </c>
      <c r="N74" s="22">
        <f>IFERROR((N22-I22)/I22,"-")</f>
        <v/>
      </c>
      <c r="O74" s="14">
        <f>IFERROR((O22-J22)/J22,"-")</f>
        <v/>
      </c>
      <c r="P74" s="14">
        <f>IFERROR((P22-K22)/K22,"-")</f>
        <v/>
      </c>
      <c r="Q74" s="14">
        <f>IFERROR((Q22-L22)/L22,"-")</f>
        <v/>
      </c>
      <c r="R74" s="23">
        <f>IFERROR((R22-M22)/M22,"-")</f>
        <v/>
      </c>
      <c r="S74" s="22">
        <f>IFERROR((S22-N22)/N22,"-")</f>
        <v/>
      </c>
      <c r="T74" s="14">
        <f>IFERROR((T22-O22)/O22,"-")</f>
        <v/>
      </c>
      <c r="U74" s="14">
        <f>IFERROR((U22-P22)/P22,"-")</f>
        <v/>
      </c>
      <c r="V74" s="14">
        <f>IFERROR((V22-Q22)/Q22,"-")</f>
        <v/>
      </c>
      <c r="W74" s="23">
        <f>IFERROR((W22-R22)/R22,"-")</f>
        <v/>
      </c>
      <c r="X74" s="22">
        <f>IFERROR((X22-S22)/S22,"-")</f>
        <v/>
      </c>
    </row>
    <row r="75">
      <c r="A75" s="9" t="inlineStr">
        <is>
          <t>ZS</t>
        </is>
      </c>
      <c r="D75" s="7" t="n"/>
      <c r="H75" s="8" t="n"/>
      <c r="I75" s="22">
        <f>IFERROR((I23-D23)/D23,"-")</f>
        <v/>
      </c>
      <c r="J75" s="14">
        <f>IFERROR((J23-E23)/E23,"-")</f>
        <v/>
      </c>
      <c r="K75" s="14">
        <f>IFERROR((K23-F23)/F23,"-")</f>
        <v/>
      </c>
      <c r="L75" s="14">
        <f>IFERROR((L23-G23)/G23,"-")</f>
        <v/>
      </c>
      <c r="M75" s="23">
        <f>IFERROR((M23-H23)/H23,"-")</f>
        <v/>
      </c>
      <c r="N75" s="22">
        <f>IFERROR((N23-I23)/I23,"-")</f>
        <v/>
      </c>
      <c r="O75" s="14">
        <f>IFERROR((O23-J23)/J23,"-")</f>
        <v/>
      </c>
      <c r="P75" s="14">
        <f>IFERROR((P23-K23)/K23,"-")</f>
        <v/>
      </c>
      <c r="Q75" s="14">
        <f>IFERROR((Q23-L23)/L23,"-")</f>
        <v/>
      </c>
      <c r="R75" s="23">
        <f>IFERROR((R23-M23)/M23,"-")</f>
        <v/>
      </c>
      <c r="S75" s="22">
        <f>IFERROR((S23-N23)/N23,"-")</f>
        <v/>
      </c>
      <c r="T75" s="14">
        <f>IFERROR((T23-O23)/O23,"-")</f>
        <v/>
      </c>
      <c r="U75" s="14">
        <f>IFERROR((U23-P23)/P23,"-")</f>
        <v/>
      </c>
      <c r="V75" s="14">
        <f>IFERROR((V23-Q23)/Q23,"-")</f>
        <v/>
      </c>
      <c r="W75" s="23">
        <f>IFERROR((W23-R23)/R23,"-")</f>
        <v/>
      </c>
      <c r="X75" s="22">
        <f>IFERROR((X23-S23)/S23,"-")</f>
        <v/>
      </c>
    </row>
    <row r="76">
      <c r="A76" s="9" t="inlineStr">
        <is>
          <t>OKTA</t>
        </is>
      </c>
      <c r="D76" s="7" t="n"/>
      <c r="H76" s="8" t="n"/>
      <c r="I76" s="22">
        <f>IFERROR((I24-D24)/D24,"-")</f>
        <v/>
      </c>
      <c r="J76" s="14">
        <f>IFERROR((J24-E24)/E24,"-")</f>
        <v/>
      </c>
      <c r="K76" s="14">
        <f>IFERROR((K24-F24)/F24,"-")</f>
        <v/>
      </c>
      <c r="L76" s="14">
        <f>IFERROR((L24-G24)/G24,"-")</f>
        <v/>
      </c>
      <c r="M76" s="23">
        <f>IFERROR((M24-H24)/H24,"-")</f>
        <v/>
      </c>
      <c r="N76" s="22">
        <f>IFERROR((N24-I24)/I24,"-")</f>
        <v/>
      </c>
      <c r="O76" s="14">
        <f>IFERROR((O24-J24)/J24,"-")</f>
        <v/>
      </c>
      <c r="P76" s="14">
        <f>IFERROR((P24-K24)/K24,"-")</f>
        <v/>
      </c>
      <c r="Q76" s="14">
        <f>IFERROR((Q24-L24)/L24,"-")</f>
        <v/>
      </c>
      <c r="R76" s="23">
        <f>IFERROR((R24-M24)/M24,"-")</f>
        <v/>
      </c>
      <c r="S76" s="22">
        <f>IFERROR((S24-N24)/N24,"-")</f>
        <v/>
      </c>
      <c r="T76" s="14">
        <f>IFERROR((T24-O24)/O24,"-")</f>
        <v/>
      </c>
      <c r="U76" s="14">
        <f>IFERROR((U24-P24)/P24,"-")</f>
        <v/>
      </c>
      <c r="V76" s="14">
        <f>IFERROR((V24-Q24)/Q24,"-")</f>
        <v/>
      </c>
      <c r="W76" s="23">
        <f>IFERROR((W24-R24)/R24,"-")</f>
        <v/>
      </c>
      <c r="X76" s="22">
        <f>IFERROR((X24-S24)/S24,"-")</f>
        <v/>
      </c>
    </row>
    <row r="77">
      <c r="A77" s="9" t="inlineStr">
        <is>
          <t>TTD</t>
        </is>
      </c>
      <c r="D77" s="7" t="n"/>
      <c r="H77" s="8" t="n"/>
      <c r="I77" s="22">
        <f>IFERROR((I25-D25)/D25,"-")</f>
        <v/>
      </c>
      <c r="J77" s="14">
        <f>IFERROR((J25-E25)/E25,"-")</f>
        <v/>
      </c>
      <c r="K77" s="14">
        <f>IFERROR((K25-F25)/F25,"-")</f>
        <v/>
      </c>
      <c r="L77" s="14">
        <f>IFERROR((L25-G25)/G25,"-")</f>
        <v/>
      </c>
      <c r="M77" s="23">
        <f>IFERROR((M25-H25)/H25,"-")</f>
        <v/>
      </c>
      <c r="N77" s="22">
        <f>IFERROR((N25-I25)/I25,"-")</f>
        <v/>
      </c>
      <c r="O77" s="14">
        <f>IFERROR((O25-J25)/J25,"-")</f>
        <v/>
      </c>
      <c r="P77" s="14">
        <f>IFERROR((P25-K25)/K25,"-")</f>
        <v/>
      </c>
      <c r="Q77" s="14">
        <f>IFERROR((Q25-L25)/L25,"-")</f>
        <v/>
      </c>
      <c r="R77" s="23">
        <f>IFERROR((R25-M25)/M25,"-")</f>
        <v/>
      </c>
      <c r="S77" s="22">
        <f>IFERROR((S25-N25)/N25,"-")</f>
        <v/>
      </c>
      <c r="T77" s="14">
        <f>IFERROR((T25-O25)/O25,"-")</f>
        <v/>
      </c>
      <c r="U77" s="14">
        <f>IFERROR((U25-P25)/P25,"-")</f>
        <v/>
      </c>
      <c r="V77" s="14">
        <f>IFERROR((V25-Q25)/Q25,"-")</f>
        <v/>
      </c>
      <c r="W77" s="23">
        <f>IFERROR((W25-R25)/R25,"-")</f>
        <v/>
      </c>
      <c r="X77" s="22">
        <f>IFERROR((X25-S25)/S25,"-")</f>
        <v/>
      </c>
    </row>
    <row r="78">
      <c r="A78" s="9" t="inlineStr">
        <is>
          <t>MDB</t>
        </is>
      </c>
      <c r="D78" s="7" t="n"/>
      <c r="H78" s="8" t="n"/>
      <c r="I78" s="22">
        <f>IFERROR((I26-D26)/D26,"-")</f>
        <v/>
      </c>
      <c r="J78" s="14">
        <f>IFERROR((J26-E26)/E26,"-")</f>
        <v/>
      </c>
      <c r="K78" s="14">
        <f>IFERROR((K26-F26)/F26,"-")</f>
        <v/>
      </c>
      <c r="L78" s="14">
        <f>IFERROR((L26-G26)/G26,"-")</f>
        <v/>
      </c>
      <c r="M78" s="23">
        <f>IFERROR((M26-H26)/H26,"-")</f>
        <v/>
      </c>
      <c r="N78" s="22">
        <f>IFERROR((N26-I26)/I26,"-")</f>
        <v/>
      </c>
      <c r="O78" s="14">
        <f>IFERROR((O26-J26)/J26,"-")</f>
        <v/>
      </c>
      <c r="P78" s="14">
        <f>IFERROR((P26-K26)/K26,"-")</f>
        <v/>
      </c>
      <c r="Q78" s="14">
        <f>IFERROR((Q26-L26)/L26,"-")</f>
        <v/>
      </c>
      <c r="R78" s="23">
        <f>IFERROR((R26-M26)/M26,"-")</f>
        <v/>
      </c>
      <c r="S78" s="22">
        <f>IFERROR((S26-N26)/N26,"-")</f>
        <v/>
      </c>
      <c r="T78" s="14">
        <f>IFERROR((T26-O26)/O26,"-")</f>
        <v/>
      </c>
      <c r="U78" s="14">
        <f>IFERROR((U26-P26)/P26,"-")</f>
        <v/>
      </c>
      <c r="V78" s="14">
        <f>IFERROR((V26-Q26)/Q26,"-")</f>
        <v/>
      </c>
      <c r="W78" s="23">
        <f>IFERROR((W26-R26)/R26,"-")</f>
        <v/>
      </c>
      <c r="X78" s="22">
        <f>IFERROR((X26-S26)/S26,"-")</f>
        <v/>
      </c>
    </row>
    <row r="79">
      <c r="A79" s="9" t="inlineStr">
        <is>
          <t>PAYC</t>
        </is>
      </c>
      <c r="D79" s="7" t="n"/>
      <c r="H79" s="8" t="n"/>
      <c r="I79" s="22">
        <f>IFERROR((I27-D27)/D27,"-")</f>
        <v/>
      </c>
      <c r="J79" s="14">
        <f>IFERROR((J27-E27)/E27,"-")</f>
        <v/>
      </c>
      <c r="K79" s="14">
        <f>IFERROR((K27-F27)/F27,"-")</f>
        <v/>
      </c>
      <c r="L79" s="14">
        <f>IFERROR((L27-G27)/G27,"-")</f>
        <v/>
      </c>
      <c r="M79" s="23">
        <f>IFERROR((M27-H27)/H27,"-")</f>
        <v/>
      </c>
      <c r="N79" s="22">
        <f>IFERROR((N27-I27)/I27,"-")</f>
        <v/>
      </c>
      <c r="O79" s="14">
        <f>IFERROR((O27-J27)/J27,"-")</f>
        <v/>
      </c>
      <c r="P79" s="14">
        <f>IFERROR((P27-K27)/K27,"-")</f>
        <v/>
      </c>
      <c r="Q79" s="14">
        <f>IFERROR((Q27-L27)/L27,"-")</f>
        <v/>
      </c>
      <c r="R79" s="23">
        <f>IFERROR((R27-M27)/M27,"-")</f>
        <v/>
      </c>
      <c r="S79" s="22">
        <f>IFERROR((S27-N27)/N27,"-")</f>
        <v/>
      </c>
      <c r="T79" s="14">
        <f>IFERROR((T27-O27)/O27,"-")</f>
        <v/>
      </c>
      <c r="U79" s="14">
        <f>IFERROR((U27-P27)/P27,"-")</f>
        <v/>
      </c>
      <c r="V79" s="14">
        <f>IFERROR((V27-Q27)/Q27,"-")</f>
        <v/>
      </c>
      <c r="W79" s="23">
        <f>IFERROR((W27-R27)/R27,"-")</f>
        <v/>
      </c>
      <c r="X79" s="22">
        <f>IFERROR((X27-S27)/S27,"-")</f>
        <v/>
      </c>
    </row>
    <row r="80">
      <c r="A80" s="9" t="inlineStr">
        <is>
          <t>DT</t>
        </is>
      </c>
      <c r="D80" s="7" t="n"/>
      <c r="H80" s="8" t="n"/>
      <c r="I80" s="22">
        <f>IFERROR((I28-D28)/D28,"-")</f>
        <v/>
      </c>
      <c r="J80" s="14">
        <f>IFERROR((J28-E28)/E28,"-")</f>
        <v/>
      </c>
      <c r="K80" s="14">
        <f>IFERROR((K28-F28)/F28,"-")</f>
        <v/>
      </c>
      <c r="L80" s="14">
        <f>IFERROR((L28-G28)/G28,"-")</f>
        <v/>
      </c>
      <c r="M80" s="23">
        <f>IFERROR((M28-H28)/H28,"-")</f>
        <v/>
      </c>
      <c r="N80" s="22">
        <f>IFERROR((N28-I28)/I28,"-")</f>
        <v/>
      </c>
      <c r="O80" s="14">
        <f>IFERROR((O28-J28)/J28,"-")</f>
        <v/>
      </c>
      <c r="P80" s="14">
        <f>IFERROR((P28-K28)/K28,"-")</f>
        <v/>
      </c>
      <c r="Q80" s="14">
        <f>IFERROR((Q28-L28)/L28,"-")</f>
        <v/>
      </c>
      <c r="R80" s="23">
        <f>IFERROR((R28-M28)/M28,"-")</f>
        <v/>
      </c>
      <c r="S80" s="22">
        <f>IFERROR((S28-N28)/N28,"-")</f>
        <v/>
      </c>
      <c r="T80" s="14">
        <f>IFERROR((T28-O28)/O28,"-")</f>
        <v/>
      </c>
      <c r="U80" s="14">
        <f>IFERROR((U28-P28)/P28,"-")</f>
        <v/>
      </c>
      <c r="V80" s="14">
        <f>IFERROR((V28-Q28)/Q28,"-")</f>
        <v/>
      </c>
      <c r="W80" s="23">
        <f>IFERROR((W28-R28)/R28,"-")</f>
        <v/>
      </c>
      <c r="X80" s="22">
        <f>IFERROR((X28-S28)/S28,"-")</f>
        <v/>
      </c>
    </row>
    <row r="81">
      <c r="A81" s="9" t="inlineStr">
        <is>
          <t>PCTY</t>
        </is>
      </c>
      <c r="D81" s="7" t="n"/>
      <c r="H81" s="8" t="n"/>
      <c r="I81" s="22">
        <f>IFERROR((I29-D29)/D29,"-")</f>
        <v/>
      </c>
      <c r="J81" s="14">
        <f>IFERROR((J29-E29)/E29,"-")</f>
        <v/>
      </c>
      <c r="K81" s="14">
        <f>IFERROR((K29-F29)/F29,"-")</f>
        <v/>
      </c>
      <c r="L81" s="14">
        <f>IFERROR((L29-G29)/G29,"-")</f>
        <v/>
      </c>
      <c r="M81" s="23">
        <f>IFERROR((M29-H29)/H29,"-")</f>
        <v/>
      </c>
      <c r="N81" s="22">
        <f>IFERROR((N29-I29)/I29,"-")</f>
        <v/>
      </c>
      <c r="O81" s="14">
        <f>IFERROR((O29-J29)/J29,"-")</f>
        <v/>
      </c>
      <c r="P81" s="14">
        <f>IFERROR((P29-K29)/K29,"-")</f>
        <v/>
      </c>
      <c r="Q81" s="14">
        <f>IFERROR((Q29-L29)/L29,"-")</f>
        <v/>
      </c>
      <c r="R81" s="23">
        <f>IFERROR((R29-M29)/M29,"-")</f>
        <v/>
      </c>
      <c r="S81" s="22">
        <f>IFERROR((S29-N29)/N29,"-")</f>
        <v/>
      </c>
      <c r="T81" s="14">
        <f>IFERROR((T29-O29)/O29,"-")</f>
        <v/>
      </c>
      <c r="U81" s="14">
        <f>IFERROR((U29-P29)/P29,"-")</f>
        <v/>
      </c>
      <c r="V81" s="14">
        <f>IFERROR((V29-Q29)/Q29,"-")</f>
        <v/>
      </c>
      <c r="W81" s="23">
        <f>IFERROR((W29-R29)/R29,"-")</f>
        <v/>
      </c>
      <c r="X81" s="22">
        <f>IFERROR((X29-S29)/S29,"-")</f>
        <v/>
      </c>
    </row>
    <row r="82">
      <c r="A82" s="9" t="inlineStr">
        <is>
          <t>ESTC</t>
        </is>
      </c>
      <c r="D82" s="7" t="n"/>
      <c r="H82" s="8" t="n"/>
      <c r="I82" s="22">
        <f>IFERROR((I30-D30)/D30,"-")</f>
        <v/>
      </c>
      <c r="J82" s="14">
        <f>IFERROR((J30-E30)/E30,"-")</f>
        <v/>
      </c>
      <c r="K82" s="14">
        <f>IFERROR((K30-F30)/F30,"-")</f>
        <v/>
      </c>
      <c r="L82" s="14">
        <f>IFERROR((L30-G30)/G30,"-")</f>
        <v/>
      </c>
      <c r="M82" s="23">
        <f>IFERROR((M30-H30)/H30,"-")</f>
        <v/>
      </c>
      <c r="N82" s="22">
        <f>IFERROR((N30-I30)/I30,"-")</f>
        <v/>
      </c>
      <c r="O82" s="14">
        <f>IFERROR((O30-J30)/J30,"-")</f>
        <v/>
      </c>
      <c r="P82" s="14">
        <f>IFERROR((P30-K30)/K30,"-")</f>
        <v/>
      </c>
      <c r="Q82" s="14">
        <f>IFERROR((Q30-L30)/L30,"-")</f>
        <v/>
      </c>
      <c r="R82" s="23">
        <f>IFERROR((R30-M30)/M30,"-")</f>
        <v/>
      </c>
      <c r="S82" s="22">
        <f>IFERROR((S30-N30)/N30,"-")</f>
        <v/>
      </c>
      <c r="T82" s="14">
        <f>IFERROR((T30-O30)/O30,"-")</f>
        <v/>
      </c>
      <c r="U82" s="14">
        <f>IFERROR((U30-P30)/P30,"-")</f>
        <v/>
      </c>
      <c r="V82" s="14">
        <f>IFERROR((V30-Q30)/Q30,"-")</f>
        <v/>
      </c>
      <c r="W82" s="23">
        <f>IFERROR((W30-R30)/R30,"-")</f>
        <v/>
      </c>
      <c r="X82" s="22">
        <f>IFERROR((X30-S30)/S30,"-")</f>
        <v/>
      </c>
    </row>
    <row r="83">
      <c r="A83" s="9" t="inlineStr">
        <is>
          <t>BILL</t>
        </is>
      </c>
      <c r="D83" s="7" t="n"/>
      <c r="H83" s="8" t="n"/>
      <c r="I83" s="22">
        <f>IFERROR((I31-D31)/D31,"-")</f>
        <v/>
      </c>
      <c r="J83" s="14">
        <f>IFERROR((J31-E31)/E31,"-")</f>
        <v/>
      </c>
      <c r="K83" s="14">
        <f>IFERROR((K31-F31)/F31,"-")</f>
        <v/>
      </c>
      <c r="L83" s="14">
        <f>IFERROR((L31-G31)/G31,"-")</f>
        <v/>
      </c>
      <c r="M83" s="23">
        <f>IFERROR((M31-H31)/H31,"-")</f>
        <v/>
      </c>
      <c r="N83" s="22">
        <f>IFERROR((N31-I31)/I31,"-")</f>
        <v/>
      </c>
      <c r="O83" s="14">
        <f>IFERROR((O31-J31)/J31,"-")</f>
        <v/>
      </c>
      <c r="P83" s="14">
        <f>IFERROR((P31-K31)/K31,"-")</f>
        <v/>
      </c>
      <c r="Q83" s="14">
        <f>IFERROR((Q31-L31)/L31,"-")</f>
        <v/>
      </c>
      <c r="R83" s="23">
        <f>IFERROR((R31-M31)/M31,"-")</f>
        <v/>
      </c>
      <c r="S83" s="22">
        <f>IFERROR((S31-N31)/N31,"-")</f>
        <v/>
      </c>
      <c r="T83" s="14">
        <f>IFERROR((T31-O31)/O31,"-")</f>
        <v/>
      </c>
      <c r="U83" s="14">
        <f>IFERROR((U31-P31)/P31,"-")</f>
        <v/>
      </c>
      <c r="V83" s="14">
        <f>IFERROR((V31-Q31)/Q31,"-")</f>
        <v/>
      </c>
      <c r="W83" s="23">
        <f>IFERROR((W31-R31)/R31,"-")</f>
        <v/>
      </c>
      <c r="X83" s="22">
        <f>IFERROR((X31-S31)/S31,"-")</f>
        <v/>
      </c>
    </row>
    <row r="84">
      <c r="A84" s="9" t="inlineStr">
        <is>
          <t>BSY</t>
        </is>
      </c>
      <c r="D84" s="7" t="n"/>
      <c r="H84" s="8" t="n"/>
      <c r="I84" s="22">
        <f>IFERROR((I32-D32)/D32,"-")</f>
        <v/>
      </c>
      <c r="J84" s="14">
        <f>IFERROR((J32-E32)/E32,"-")</f>
        <v/>
      </c>
      <c r="K84" s="14">
        <f>IFERROR((K32-F32)/F32,"-")</f>
        <v/>
      </c>
      <c r="L84" s="14">
        <f>IFERROR((L32-G32)/G32,"-")</f>
        <v/>
      </c>
      <c r="M84" s="23">
        <f>IFERROR((M32-H32)/H32,"-")</f>
        <v/>
      </c>
      <c r="N84" s="22">
        <f>IFERROR((N32-I32)/I32,"-")</f>
        <v/>
      </c>
      <c r="O84" s="14">
        <f>IFERROR((O32-J32)/J32,"-")</f>
        <v/>
      </c>
      <c r="P84" s="14">
        <f>IFERROR((P32-K32)/K32,"-")</f>
        <v/>
      </c>
      <c r="Q84" s="14">
        <f>IFERROR((Q32-L32)/L32,"-")</f>
        <v/>
      </c>
      <c r="R84" s="23">
        <f>IFERROR((R32-M32)/M32,"-")</f>
        <v/>
      </c>
      <c r="S84" s="22">
        <f>IFERROR((S32-N32)/N32,"-")</f>
        <v/>
      </c>
      <c r="T84" s="14">
        <f>IFERROR((T32-O32)/O32,"-")</f>
        <v/>
      </c>
      <c r="U84" s="14">
        <f>IFERROR((U32-P32)/P32,"-")</f>
        <v/>
      </c>
      <c r="V84" s="14">
        <f>IFERROR((V32-Q32)/Q32,"-")</f>
        <v/>
      </c>
      <c r="W84" s="23">
        <f>IFERROR((W32-R32)/R32,"-")</f>
        <v/>
      </c>
      <c r="X84" s="22">
        <f>IFERROR((X32-S32)/S32,"-")</f>
        <v/>
      </c>
    </row>
    <row r="85">
      <c r="A85" s="9" t="inlineStr">
        <is>
          <t>GWRE</t>
        </is>
      </c>
      <c r="D85" s="7" t="n"/>
      <c r="H85" s="8" t="n"/>
      <c r="I85" s="22">
        <f>IFERROR((I33-D33)/D33,"-")</f>
        <v/>
      </c>
      <c r="J85" s="14">
        <f>IFERROR((J33-E33)/E33,"-")</f>
        <v/>
      </c>
      <c r="K85" s="14">
        <f>IFERROR((K33-F33)/F33,"-")</f>
        <v/>
      </c>
      <c r="L85" s="14">
        <f>IFERROR((L33-G33)/G33,"-")</f>
        <v/>
      </c>
      <c r="M85" s="23">
        <f>IFERROR((M33-H33)/H33,"-")</f>
        <v/>
      </c>
      <c r="N85" s="22">
        <f>IFERROR((N33-I33)/I33,"-")</f>
        <v/>
      </c>
      <c r="O85" s="14">
        <f>IFERROR((O33-J33)/J33,"-")</f>
        <v/>
      </c>
      <c r="P85" s="14">
        <f>IFERROR((P33-K33)/K33,"-")</f>
        <v/>
      </c>
      <c r="Q85" s="14">
        <f>IFERROR((Q33-L33)/L33,"-")</f>
        <v/>
      </c>
      <c r="R85" s="23">
        <f>IFERROR((R33-M33)/M33,"-")</f>
        <v/>
      </c>
      <c r="S85" s="22">
        <f>IFERROR((S33-N33)/N33,"-")</f>
        <v/>
      </c>
      <c r="T85" s="14">
        <f>IFERROR((T33-O33)/O33,"-")</f>
        <v/>
      </c>
      <c r="U85" s="14">
        <f>IFERROR((U33-P33)/P33,"-")</f>
        <v/>
      </c>
      <c r="V85" s="14">
        <f>IFERROR((V33-Q33)/Q33,"-")</f>
        <v/>
      </c>
      <c r="W85" s="23">
        <f>IFERROR((W33-R33)/R33,"-")</f>
        <v/>
      </c>
      <c r="X85" s="22">
        <f>IFERROR((X33-S33)/S33,"-")</f>
        <v/>
      </c>
    </row>
    <row r="86">
      <c r="A86" s="9" t="inlineStr">
        <is>
          <t>PCOR</t>
        </is>
      </c>
      <c r="D86" s="7" t="n"/>
      <c r="H86" s="8" t="n"/>
      <c r="I86" s="22">
        <f>IFERROR((I34-D34)/D34,"-")</f>
        <v/>
      </c>
      <c r="J86" s="14">
        <f>IFERROR((J34-E34)/E34,"-")</f>
        <v/>
      </c>
      <c r="K86" s="14">
        <f>IFERROR((K34-F34)/F34,"-")</f>
        <v/>
      </c>
      <c r="L86" s="14">
        <f>IFERROR((L34-G34)/G34,"-")</f>
        <v/>
      </c>
      <c r="M86" s="23">
        <f>IFERROR((M34-H34)/H34,"-")</f>
        <v/>
      </c>
      <c r="N86" s="22">
        <f>IFERROR((N34-I34)/I34,"-")</f>
        <v/>
      </c>
      <c r="O86" s="14">
        <f>IFERROR((O34-J34)/J34,"-")</f>
        <v/>
      </c>
      <c r="P86" s="14">
        <f>IFERROR((P34-K34)/K34,"-")</f>
        <v/>
      </c>
      <c r="Q86" s="14">
        <f>IFERROR((Q34-L34)/L34,"-")</f>
        <v/>
      </c>
      <c r="R86" s="23">
        <f>IFERROR((R34-M34)/M34,"-")</f>
        <v/>
      </c>
      <c r="S86" s="22">
        <f>IFERROR((S34-N34)/N34,"-")</f>
        <v/>
      </c>
      <c r="T86" s="14">
        <f>IFERROR((T34-O34)/O34,"-")</f>
        <v/>
      </c>
      <c r="U86" s="14">
        <f>IFERROR((U34-P34)/P34,"-")</f>
        <v/>
      </c>
      <c r="V86" s="14">
        <f>IFERROR((V34-Q34)/Q34,"-")</f>
        <v/>
      </c>
      <c r="W86" s="23">
        <f>IFERROR((W34-R34)/R34,"-")</f>
        <v/>
      </c>
      <c r="X86" s="22">
        <f>IFERROR((X34-S34)/S34,"-")</f>
        <v/>
      </c>
    </row>
    <row r="87">
      <c r="A87" s="9" t="inlineStr">
        <is>
          <t>ZI</t>
        </is>
      </c>
      <c r="D87" s="7" t="n"/>
      <c r="H87" s="8" t="n"/>
      <c r="I87" s="22">
        <f>IFERROR((I35-D35)/D35,"-")</f>
        <v/>
      </c>
      <c r="J87" s="14">
        <f>IFERROR((J35-E35)/E35,"-")</f>
        <v/>
      </c>
      <c r="K87" s="14">
        <f>IFERROR((K35-F35)/F35,"-")</f>
        <v/>
      </c>
      <c r="L87" s="14">
        <f>IFERROR((L35-G35)/G35,"-")</f>
        <v/>
      </c>
      <c r="M87" s="23">
        <f>IFERROR((M35-H35)/H35,"-")</f>
        <v/>
      </c>
      <c r="N87" s="22">
        <f>IFERROR((N35-I35)/I35,"-")</f>
        <v/>
      </c>
      <c r="O87" s="14">
        <f>IFERROR((O35-J35)/J35,"-")</f>
        <v/>
      </c>
      <c r="P87" s="14">
        <f>IFERROR((P35-K35)/K35,"-")</f>
        <v/>
      </c>
      <c r="Q87" s="14">
        <f>IFERROR((Q35-L35)/L35,"-")</f>
        <v/>
      </c>
      <c r="R87" s="23">
        <f>IFERROR((R35-M35)/M35,"-")</f>
        <v/>
      </c>
      <c r="S87" s="22">
        <f>IFERROR((S35-N35)/N35,"-")</f>
        <v/>
      </c>
      <c r="T87" s="14">
        <f>IFERROR((T35-O35)/O35,"-")</f>
        <v/>
      </c>
      <c r="U87" s="14">
        <f>IFERROR((U35-P35)/P35,"-")</f>
        <v/>
      </c>
      <c r="V87" s="14">
        <f>IFERROR((V35-Q35)/Q35,"-")</f>
        <v/>
      </c>
      <c r="W87" s="23">
        <f>IFERROR((W35-R35)/R35,"-")</f>
        <v/>
      </c>
      <c r="X87" s="22">
        <f>IFERROR((X35-S35)/S35,"-")</f>
        <v/>
      </c>
    </row>
    <row r="88">
      <c r="A88" s="9" t="inlineStr">
        <is>
          <t>KVYO</t>
        </is>
      </c>
      <c r="D88" s="7" t="n"/>
      <c r="H88" s="8" t="n"/>
      <c r="I88" s="22">
        <f>IFERROR((I36-D36)/D36,"-")</f>
        <v/>
      </c>
      <c r="J88" s="14">
        <f>IFERROR((J36-E36)/E36,"-")</f>
        <v/>
      </c>
      <c r="K88" s="14">
        <f>IFERROR((K36-F36)/F36,"-")</f>
        <v/>
      </c>
      <c r="L88" s="14">
        <f>IFERROR((L36-G36)/G36,"-")</f>
        <v/>
      </c>
      <c r="M88" s="23">
        <f>IFERROR((M36-H36)/H36,"-")</f>
        <v/>
      </c>
      <c r="N88" s="22">
        <f>IFERROR((N36-I36)/I36,"-")</f>
        <v/>
      </c>
      <c r="O88" s="14">
        <f>IFERROR((O36-J36)/J36,"-")</f>
        <v/>
      </c>
      <c r="P88" s="14">
        <f>IFERROR((P36-K36)/K36,"-")</f>
        <v/>
      </c>
      <c r="Q88" s="14">
        <f>IFERROR((Q36-L36)/L36,"-")</f>
        <v/>
      </c>
      <c r="R88" s="23">
        <f>IFERROR((R36-M36)/M36,"-")</f>
        <v/>
      </c>
      <c r="S88" s="22">
        <f>IFERROR((S36-N36)/N36,"-")</f>
        <v/>
      </c>
      <c r="T88" s="14">
        <f>IFERROR((T36-O36)/O36,"-")</f>
        <v/>
      </c>
      <c r="U88" s="14">
        <f>IFERROR((U36-P36)/P36,"-")</f>
        <v/>
      </c>
      <c r="V88" s="14">
        <f>IFERROR((V36-Q36)/Q36,"-")</f>
        <v/>
      </c>
      <c r="W88" s="23">
        <f>IFERROR((W36-R36)/R36,"-")</f>
        <v/>
      </c>
      <c r="X88" s="22">
        <f>IFERROR((X36-S36)/S36,"-")</f>
        <v/>
      </c>
    </row>
    <row r="89">
      <c r="A89" s="9" t="inlineStr">
        <is>
          <t>MNDY</t>
        </is>
      </c>
      <c r="D89" s="7" t="n"/>
      <c r="H89" s="8" t="n"/>
      <c r="I89" s="22">
        <f>IFERROR((I37-D37)/D37,"-")</f>
        <v/>
      </c>
      <c r="J89" s="14">
        <f>IFERROR((J37-E37)/E37,"-")</f>
        <v/>
      </c>
      <c r="K89" s="14">
        <f>IFERROR((K37-F37)/F37,"-")</f>
        <v/>
      </c>
      <c r="L89" s="14">
        <f>IFERROR((L37-G37)/G37,"-")</f>
        <v/>
      </c>
      <c r="M89" s="23">
        <f>IFERROR((M37-H37)/H37,"-")</f>
        <v/>
      </c>
      <c r="N89" s="22">
        <f>IFERROR((N37-I37)/I37,"-")</f>
        <v/>
      </c>
      <c r="O89" s="14">
        <f>IFERROR((O37-J37)/J37,"-")</f>
        <v/>
      </c>
      <c r="P89" s="14">
        <f>IFERROR((P37-K37)/K37,"-")</f>
        <v/>
      </c>
      <c r="Q89" s="14">
        <f>IFERROR((Q37-L37)/L37,"-")</f>
        <v/>
      </c>
      <c r="R89" s="23">
        <f>IFERROR((R37-M37)/M37,"-")</f>
        <v/>
      </c>
      <c r="S89" s="22">
        <f>IFERROR((S37-N37)/N37,"-")</f>
        <v/>
      </c>
      <c r="T89" s="14">
        <f>IFERROR((T37-O37)/O37,"-")</f>
        <v/>
      </c>
      <c r="U89" s="14">
        <f>IFERROR((U37-P37)/P37,"-")</f>
        <v/>
      </c>
      <c r="V89" s="14">
        <f>IFERROR((V37-Q37)/Q37,"-")</f>
        <v/>
      </c>
      <c r="W89" s="23">
        <f>IFERROR((W37-R37)/R37,"-")</f>
        <v/>
      </c>
      <c r="X89" s="22">
        <f>IFERROR((X37-S37)/S37,"-")</f>
        <v/>
      </c>
    </row>
    <row r="90">
      <c r="A90" s="9" t="inlineStr">
        <is>
          <t>CFLT</t>
        </is>
      </c>
      <c r="D90" s="7" t="n"/>
      <c r="H90" s="8" t="n"/>
      <c r="I90" s="22">
        <f>IFERROR((I38-D38)/D38,"-")</f>
        <v/>
      </c>
      <c r="J90" s="14">
        <f>IFERROR((J38-E38)/E38,"-")</f>
        <v/>
      </c>
      <c r="K90" s="14">
        <f>IFERROR((K38-F38)/F38,"-")</f>
        <v/>
      </c>
      <c r="L90" s="14">
        <f>IFERROR((L38-G38)/G38,"-")</f>
        <v/>
      </c>
      <c r="M90" s="23">
        <f>IFERROR((M38-H38)/H38,"-")</f>
        <v/>
      </c>
      <c r="N90" s="22">
        <f>IFERROR((N38-I38)/I38,"-")</f>
        <v/>
      </c>
      <c r="O90" s="14">
        <f>IFERROR((O38-J38)/J38,"-")</f>
        <v/>
      </c>
      <c r="P90" s="14">
        <f>IFERROR((P38-K38)/K38,"-")</f>
        <v/>
      </c>
      <c r="Q90" s="14">
        <f>IFERROR((Q38-L38)/L38,"-")</f>
        <v/>
      </c>
      <c r="R90" s="23">
        <f>IFERROR((R38-M38)/M38,"-")</f>
        <v/>
      </c>
      <c r="S90" s="22">
        <f>IFERROR((S38-N38)/N38,"-")</f>
        <v/>
      </c>
      <c r="T90" s="14">
        <f>IFERROR((T38-O38)/O38,"-")</f>
        <v/>
      </c>
      <c r="U90" s="14">
        <f>IFERROR((U38-P38)/P38,"-")</f>
        <v/>
      </c>
      <c r="V90" s="14">
        <f>IFERROR((V38-Q38)/Q38,"-")</f>
        <v/>
      </c>
      <c r="W90" s="23">
        <f>IFERROR((W38-R38)/R38,"-")</f>
        <v/>
      </c>
      <c r="X90" s="22">
        <f>IFERROR((X38-S38)/S38,"-")</f>
        <v/>
      </c>
    </row>
    <row r="91">
      <c r="A91" s="9" t="inlineStr">
        <is>
          <t>AZPN</t>
        </is>
      </c>
      <c r="D91" s="7" t="n"/>
      <c r="H91" s="8" t="n"/>
      <c r="I91" s="22">
        <f>IFERROR((I39-D39)/D39,"-")</f>
        <v/>
      </c>
      <c r="J91" s="14">
        <f>IFERROR((J39-E39)/E39,"-")</f>
        <v/>
      </c>
      <c r="K91" s="14">
        <f>IFERROR((K39-F39)/F39,"-")</f>
        <v/>
      </c>
      <c r="L91" s="14">
        <f>IFERROR((L39-G39)/G39,"-")</f>
        <v/>
      </c>
      <c r="M91" s="23">
        <f>IFERROR((M39-H39)/H39,"-")</f>
        <v/>
      </c>
      <c r="N91" s="22">
        <f>IFERROR((N39-I39)/I39,"-")</f>
        <v/>
      </c>
      <c r="O91" s="14">
        <f>IFERROR((O39-J39)/J39,"-")</f>
        <v/>
      </c>
      <c r="P91" s="14">
        <f>IFERROR((P39-K39)/K39,"-")</f>
        <v/>
      </c>
      <c r="Q91" s="14">
        <f>IFERROR((Q39-L39)/L39,"-")</f>
        <v/>
      </c>
      <c r="R91" s="23">
        <f>IFERROR((R39-M39)/M39,"-")</f>
        <v/>
      </c>
      <c r="S91" s="22">
        <f>IFERROR((S39-N39)/N39,"-")</f>
        <v/>
      </c>
      <c r="T91" s="14">
        <f>IFERROR((T39-O39)/O39,"-")</f>
        <v/>
      </c>
      <c r="U91" s="14">
        <f>IFERROR((U39-P39)/P39,"-")</f>
        <v/>
      </c>
      <c r="V91" s="14">
        <f>IFERROR((V39-Q39)/Q39,"-")</f>
        <v/>
      </c>
      <c r="W91" s="23">
        <f>IFERROR((W39-R39)/R39,"-")</f>
        <v/>
      </c>
      <c r="X91" s="22">
        <f>IFERROR((X39-S39)/S39,"-")</f>
        <v/>
      </c>
    </row>
    <row r="92">
      <c r="A92" s="9" t="inlineStr">
        <is>
          <t>MANH</t>
        </is>
      </c>
      <c r="D92" s="7" t="n"/>
      <c r="H92" s="8" t="n"/>
      <c r="I92" s="22">
        <f>IFERROR((I40-D40)/D40,"-")</f>
        <v/>
      </c>
      <c r="J92" s="14">
        <f>IFERROR((J40-E40)/E40,"-")</f>
        <v/>
      </c>
      <c r="K92" s="14">
        <f>IFERROR((K40-F40)/F40,"-")</f>
        <v/>
      </c>
      <c r="L92" s="14">
        <f>IFERROR((L40-G40)/G40,"-")</f>
        <v/>
      </c>
      <c r="M92" s="23">
        <f>IFERROR((M40-H40)/H40,"-")</f>
        <v/>
      </c>
      <c r="N92" s="22">
        <f>IFERROR((N40-I40)/I40,"-")</f>
        <v/>
      </c>
      <c r="O92" s="14">
        <f>IFERROR((O40-J40)/J40,"-")</f>
        <v/>
      </c>
      <c r="P92" s="14">
        <f>IFERROR((P40-K40)/K40,"-")</f>
        <v/>
      </c>
      <c r="Q92" s="14">
        <f>IFERROR((Q40-L40)/L40,"-")</f>
        <v/>
      </c>
      <c r="R92" s="23">
        <f>IFERROR((R40-M40)/M40,"-")</f>
        <v/>
      </c>
      <c r="S92" s="22">
        <f>IFERROR((S40-N40)/N40,"-")</f>
        <v/>
      </c>
      <c r="T92" s="14">
        <f>IFERROR((T40-O40)/O40,"-")</f>
        <v/>
      </c>
      <c r="U92" s="14">
        <f>IFERROR((U40-P40)/P40,"-")</f>
        <v/>
      </c>
      <c r="V92" s="14">
        <f>IFERROR((V40-Q40)/Q40,"-")</f>
        <v/>
      </c>
      <c r="W92" s="23">
        <f>IFERROR((W40-R40)/R40,"-")</f>
        <v/>
      </c>
      <c r="X92" s="22">
        <f>IFERROR((X40-S40)/S40,"-")</f>
        <v/>
      </c>
    </row>
    <row r="93">
      <c r="A93" s="9" t="inlineStr">
        <is>
          <t>S</t>
        </is>
      </c>
      <c r="D93" s="7" t="n"/>
      <c r="H93" s="8" t="n"/>
      <c r="I93" s="22">
        <f>IFERROR((I41-D41)/D41,"-")</f>
        <v/>
      </c>
      <c r="J93" s="14">
        <f>IFERROR((J41-E41)/E41,"-")</f>
        <v/>
      </c>
      <c r="K93" s="14">
        <f>IFERROR((K41-F41)/F41,"-")</f>
        <v/>
      </c>
      <c r="L93" s="14">
        <f>IFERROR((L41-G41)/G41,"-")</f>
        <v/>
      </c>
      <c r="M93" s="23">
        <f>IFERROR((M41-H41)/H41,"-")</f>
        <v/>
      </c>
      <c r="N93" s="22">
        <f>IFERROR((N41-I41)/I41,"-")</f>
        <v/>
      </c>
      <c r="O93" s="14">
        <f>IFERROR((O41-J41)/J41,"-")</f>
        <v/>
      </c>
      <c r="P93" s="14">
        <f>IFERROR((P41-K41)/K41,"-")</f>
        <v/>
      </c>
      <c r="Q93" s="14">
        <f>IFERROR((Q41-L41)/L41,"-")</f>
        <v/>
      </c>
      <c r="R93" s="23">
        <f>IFERROR((R41-M41)/M41,"-")</f>
        <v/>
      </c>
      <c r="S93" s="22">
        <f>IFERROR((S41-N41)/N41,"-")</f>
        <v/>
      </c>
      <c r="T93" s="14">
        <f>IFERROR((T41-O41)/O41,"-")</f>
        <v/>
      </c>
      <c r="U93" s="14">
        <f>IFERROR((U41-P41)/P41,"-")</f>
        <v/>
      </c>
      <c r="V93" s="14">
        <f>IFERROR((V41-Q41)/Q41,"-")</f>
        <v/>
      </c>
      <c r="W93" s="23">
        <f>IFERROR((W41-R41)/R41,"-")</f>
        <v/>
      </c>
      <c r="X93" s="22">
        <f>IFERROR((X41-S41)/S41,"-")</f>
        <v/>
      </c>
    </row>
    <row r="94">
      <c r="A94" s="9" t="inlineStr">
        <is>
          <t>TENB</t>
        </is>
      </c>
      <c r="D94" s="7" t="n"/>
      <c r="H94" s="8" t="n"/>
      <c r="I94" s="22">
        <f>IFERROR((I42-D42)/D42,"-")</f>
        <v/>
      </c>
      <c r="J94" s="14">
        <f>IFERROR((J42-E42)/E42,"-")</f>
        <v/>
      </c>
      <c r="K94" s="14">
        <f>IFERROR((K42-F42)/F42,"-")</f>
        <v/>
      </c>
      <c r="L94" s="14">
        <f>IFERROR((L42-G42)/G42,"-")</f>
        <v/>
      </c>
      <c r="M94" s="23">
        <f>IFERROR((M42-H42)/H42,"-")</f>
        <v/>
      </c>
      <c r="N94" s="22">
        <f>IFERROR((N42-I42)/I42,"-")</f>
        <v/>
      </c>
      <c r="O94" s="14">
        <f>IFERROR((O42-J42)/J42,"-")</f>
        <v/>
      </c>
      <c r="P94" s="14">
        <f>IFERROR((P42-K42)/K42,"-")</f>
        <v/>
      </c>
      <c r="Q94" s="14">
        <f>IFERROR((Q42-L42)/L42,"-")</f>
        <v/>
      </c>
      <c r="R94" s="23">
        <f>IFERROR((R42-M42)/M42,"-")</f>
        <v/>
      </c>
      <c r="S94" s="22">
        <f>IFERROR((S42-N42)/N42,"-")</f>
        <v/>
      </c>
      <c r="T94" s="14">
        <f>IFERROR((T42-O42)/O42,"-")</f>
        <v/>
      </c>
      <c r="U94" s="14">
        <f>IFERROR((U42-P42)/P42,"-")</f>
        <v/>
      </c>
      <c r="V94" s="14">
        <f>IFERROR((V42-Q42)/Q42,"-")</f>
        <v/>
      </c>
      <c r="W94" s="23">
        <f>IFERROR((W42-R42)/R42,"-")</f>
        <v/>
      </c>
      <c r="X94" s="22">
        <f>IFERROR((X42-S42)/S42,"-")</f>
        <v/>
      </c>
    </row>
    <row r="95">
      <c r="A95" s="9" t="inlineStr">
        <is>
          <t>GTLB</t>
        </is>
      </c>
      <c r="D95" s="7" t="n"/>
      <c r="H95" s="8" t="n"/>
      <c r="I95" s="22">
        <f>IFERROR((I43-D43)/D43,"-")</f>
        <v/>
      </c>
      <c r="J95" s="14">
        <f>IFERROR((J43-E43)/E43,"-")</f>
        <v/>
      </c>
      <c r="K95" s="14">
        <f>IFERROR((K43-F43)/F43,"-")</f>
        <v/>
      </c>
      <c r="L95" s="14">
        <f>IFERROR((L43-G43)/G43,"-")</f>
        <v/>
      </c>
      <c r="M95" s="23">
        <f>IFERROR((M43-H43)/H43,"-")</f>
        <v/>
      </c>
      <c r="N95" s="22">
        <f>IFERROR((N43-I43)/I43,"-")</f>
        <v/>
      </c>
      <c r="O95" s="14">
        <f>IFERROR((O43-J43)/J43,"-")</f>
        <v/>
      </c>
      <c r="P95" s="14">
        <f>IFERROR((P43-K43)/K43,"-")</f>
        <v/>
      </c>
      <c r="Q95" s="14">
        <f>IFERROR((Q43-L43)/L43,"-")</f>
        <v/>
      </c>
      <c r="R95" s="23">
        <f>IFERROR((R43-M43)/M43,"-")</f>
        <v/>
      </c>
      <c r="S95" s="22">
        <f>IFERROR((S43-N43)/N43,"-")</f>
        <v/>
      </c>
      <c r="T95" s="14">
        <f>IFERROR((T43-O43)/O43,"-")</f>
        <v/>
      </c>
      <c r="U95" s="14">
        <f>IFERROR((U43-P43)/P43,"-")</f>
        <v/>
      </c>
      <c r="V95" s="14">
        <f>IFERROR((V43-Q43)/Q43,"-")</f>
        <v/>
      </c>
      <c r="W95" s="23">
        <f>IFERROR((W43-R43)/R43,"-")</f>
        <v/>
      </c>
      <c r="X95" s="22">
        <f>IFERROR((X43-S43)/S43,"-")</f>
        <v/>
      </c>
    </row>
    <row r="96">
      <c r="A96" s="9" t="inlineStr">
        <is>
          <t>DOCN</t>
        </is>
      </c>
      <c r="D96" s="7" t="n"/>
      <c r="H96" s="8" t="n"/>
      <c r="I96" s="22">
        <f>IFERROR((I44-D44)/D44,"-")</f>
        <v/>
      </c>
      <c r="J96" s="14">
        <f>IFERROR((J44-E44)/E44,"-")</f>
        <v/>
      </c>
      <c r="K96" s="14">
        <f>IFERROR((K44-F44)/F44,"-")</f>
        <v/>
      </c>
      <c r="L96" s="14">
        <f>IFERROR((L44-G44)/G44,"-")</f>
        <v/>
      </c>
      <c r="M96" s="23">
        <f>IFERROR((M44-H44)/H44,"-")</f>
        <v/>
      </c>
      <c r="N96" s="22">
        <f>IFERROR((N44-I44)/I44,"-")</f>
        <v/>
      </c>
      <c r="O96" s="14">
        <f>IFERROR((O44-J44)/J44,"-")</f>
        <v/>
      </c>
      <c r="P96" s="14">
        <f>IFERROR((P44-K44)/K44,"-")</f>
        <v/>
      </c>
      <c r="Q96" s="14">
        <f>IFERROR((Q44-L44)/L44,"-")</f>
        <v/>
      </c>
      <c r="R96" s="23">
        <f>IFERROR((R44-M44)/M44,"-")</f>
        <v/>
      </c>
      <c r="S96" s="22">
        <f>IFERROR((S44-N44)/N44,"-")</f>
        <v/>
      </c>
      <c r="T96" s="14">
        <f>IFERROR((T44-O44)/O44,"-")</f>
        <v/>
      </c>
      <c r="U96" s="14">
        <f>IFERROR((U44-P44)/P44,"-")</f>
        <v/>
      </c>
      <c r="V96" s="14">
        <f>IFERROR((V44-Q44)/Q44,"-")</f>
        <v/>
      </c>
      <c r="W96" s="23">
        <f>IFERROR((W44-R44)/R44,"-")</f>
        <v/>
      </c>
      <c r="X96" s="22">
        <f>IFERROR((X44-S44)/S44,"-")</f>
        <v/>
      </c>
    </row>
    <row r="97">
      <c r="A97" s="9" t="inlineStr">
        <is>
          <t>SPSC</t>
        </is>
      </c>
      <c r="D97" s="7" t="n"/>
      <c r="H97" s="8" t="n"/>
      <c r="I97" s="22">
        <f>IFERROR((I45-D45)/D45,"-")</f>
        <v/>
      </c>
      <c r="J97" s="14">
        <f>IFERROR((J45-E45)/E45,"-")</f>
        <v/>
      </c>
      <c r="K97" s="14">
        <f>IFERROR((K45-F45)/F45,"-")</f>
        <v/>
      </c>
      <c r="L97" s="14">
        <f>IFERROR((L45-G45)/G45,"-")</f>
        <v/>
      </c>
      <c r="M97" s="23">
        <f>IFERROR((M45-H45)/H45,"-")</f>
        <v/>
      </c>
      <c r="N97" s="22">
        <f>IFERROR((N45-I45)/I45,"-")</f>
        <v/>
      </c>
      <c r="O97" s="14">
        <f>IFERROR((O45-J45)/J45,"-")</f>
        <v/>
      </c>
      <c r="P97" s="14">
        <f>IFERROR((P45-K45)/K45,"-")</f>
        <v/>
      </c>
      <c r="Q97" s="14">
        <f>IFERROR((Q45-L45)/L45,"-")</f>
        <v/>
      </c>
      <c r="R97" s="23">
        <f>IFERROR((R45-M45)/M45,"-")</f>
        <v/>
      </c>
      <c r="S97" s="22">
        <f>IFERROR((S45-N45)/N45,"-")</f>
        <v/>
      </c>
      <c r="T97" s="14">
        <f>IFERROR((T45-O45)/O45,"-")</f>
        <v/>
      </c>
      <c r="U97" s="14">
        <f>IFERROR((U45-P45)/P45,"-")</f>
        <v/>
      </c>
      <c r="V97" s="14">
        <f>IFERROR((V45-Q45)/Q45,"-")</f>
        <v/>
      </c>
      <c r="W97" s="23">
        <f>IFERROR((W45-R45)/R45,"-")</f>
        <v/>
      </c>
      <c r="X97" s="22">
        <f>IFERROR((X45-S45)/S45,"-")</f>
        <v/>
      </c>
    </row>
    <row r="98">
      <c r="A98" s="9" t="inlineStr">
        <is>
          <t>BRZE</t>
        </is>
      </c>
      <c r="D98" s="7" t="n"/>
      <c r="H98" s="8" t="n"/>
      <c r="I98" s="22">
        <f>IFERROR((I46-D46)/D46,"-")</f>
        <v/>
      </c>
      <c r="J98" s="14">
        <f>IFERROR((J46-E46)/E46,"-")</f>
        <v/>
      </c>
      <c r="K98" s="14">
        <f>IFERROR((K46-F46)/F46,"-")</f>
        <v/>
      </c>
      <c r="L98" s="14">
        <f>IFERROR((L46-G46)/G46,"-")</f>
        <v/>
      </c>
      <c r="M98" s="23">
        <f>IFERROR((M46-H46)/H46,"-")</f>
        <v/>
      </c>
      <c r="N98" s="22">
        <f>IFERROR((N46-I46)/I46,"-")</f>
        <v/>
      </c>
      <c r="O98" s="14">
        <f>IFERROR((O46-J46)/J46,"-")</f>
        <v/>
      </c>
      <c r="P98" s="14">
        <f>IFERROR((P46-K46)/K46,"-")</f>
        <v/>
      </c>
      <c r="Q98" s="14">
        <f>IFERROR((Q46-L46)/L46,"-")</f>
        <v/>
      </c>
      <c r="R98" s="23">
        <f>IFERROR((R46-M46)/M46,"-")</f>
        <v/>
      </c>
      <c r="S98" s="22">
        <f>IFERROR((S46-N46)/N46,"-")</f>
        <v/>
      </c>
      <c r="T98" s="14">
        <f>IFERROR((T46-O46)/O46,"-")</f>
        <v/>
      </c>
      <c r="U98" s="14">
        <f>IFERROR((U46-P46)/P46,"-")</f>
        <v/>
      </c>
      <c r="V98" s="14">
        <f>IFERROR((V46-Q46)/Q46,"-")</f>
        <v/>
      </c>
      <c r="W98" s="23">
        <f>IFERROR((W46-R46)/R46,"-")</f>
        <v/>
      </c>
      <c r="X98" s="22">
        <f>IFERROR((X46-S46)/S46,"-")</f>
        <v/>
      </c>
    </row>
    <row r="99">
      <c r="A99" s="9" t="inlineStr">
        <is>
          <t>CWAN</t>
        </is>
      </c>
      <c r="D99" s="7" t="n"/>
      <c r="H99" s="8" t="n"/>
      <c r="I99" s="22">
        <f>IFERROR((I47-D47)/D47,"-")</f>
        <v/>
      </c>
      <c r="J99" s="14">
        <f>IFERROR((J47-E47)/E47,"-")</f>
        <v/>
      </c>
      <c r="K99" s="14">
        <f>IFERROR((K47-F47)/F47,"-")</f>
        <v/>
      </c>
      <c r="L99" s="14">
        <f>IFERROR((L47-G47)/G47,"-")</f>
        <v/>
      </c>
      <c r="M99" s="23">
        <f>IFERROR((M47-H47)/H47,"-")</f>
        <v/>
      </c>
      <c r="N99" s="22">
        <f>IFERROR((N47-I47)/I47,"-")</f>
        <v/>
      </c>
      <c r="O99" s="14">
        <f>IFERROR((O47-J47)/J47,"-")</f>
        <v/>
      </c>
      <c r="P99" s="14">
        <f>IFERROR((P47-K47)/K47,"-")</f>
        <v/>
      </c>
      <c r="Q99" s="14">
        <f>IFERROR((Q47-L47)/L47,"-")</f>
        <v/>
      </c>
      <c r="R99" s="23">
        <f>IFERROR((R47-M47)/M47,"-")</f>
        <v/>
      </c>
      <c r="S99" s="22">
        <f>IFERROR((S47-N47)/N47,"-")</f>
        <v/>
      </c>
      <c r="T99" s="14">
        <f>IFERROR((T47-O47)/O47,"-")</f>
        <v/>
      </c>
      <c r="U99" s="14">
        <f>IFERROR((U47-P47)/P47,"-")</f>
        <v/>
      </c>
      <c r="V99" s="14">
        <f>IFERROR((V47-Q47)/Q47,"-")</f>
        <v/>
      </c>
      <c r="W99" s="23">
        <f>IFERROR((W47-R47)/R47,"-")</f>
        <v/>
      </c>
      <c r="X99" s="22">
        <f>IFERROR((X47-S47)/S47,"-")</f>
        <v/>
      </c>
    </row>
    <row r="100">
      <c r="A100" s="9" t="inlineStr">
        <is>
          <t>APPN</t>
        </is>
      </c>
      <c r="D100" s="7" t="n"/>
      <c r="H100" s="8" t="n"/>
      <c r="I100" s="22">
        <f>IFERROR((I48-D48)/D48,"-")</f>
        <v/>
      </c>
      <c r="J100" s="14">
        <f>IFERROR((J48-E48)/E48,"-")</f>
        <v/>
      </c>
      <c r="K100" s="14">
        <f>IFERROR((K48-F48)/F48,"-")</f>
        <v/>
      </c>
      <c r="L100" s="14">
        <f>IFERROR((L48-G48)/G48,"-")</f>
        <v/>
      </c>
      <c r="M100" s="23">
        <f>IFERROR((M48-H48)/H48,"-")</f>
        <v/>
      </c>
      <c r="N100" s="22">
        <f>IFERROR((N48-I48)/I48,"-")</f>
        <v/>
      </c>
      <c r="O100" s="14">
        <f>IFERROR((O48-J48)/J48,"-")</f>
        <v/>
      </c>
      <c r="P100" s="14">
        <f>IFERROR((P48-K48)/K48,"-")</f>
        <v/>
      </c>
      <c r="Q100" s="14">
        <f>IFERROR((Q48-L48)/L48,"-")</f>
        <v/>
      </c>
      <c r="R100" s="23">
        <f>IFERROR((R48-M48)/M48,"-")</f>
        <v/>
      </c>
      <c r="S100" s="22">
        <f>IFERROR((S48-N48)/N48,"-")</f>
        <v/>
      </c>
      <c r="T100" s="14">
        <f>IFERROR((T48-O48)/O48,"-")</f>
        <v/>
      </c>
      <c r="U100" s="14">
        <f>IFERROR((U48-P48)/P48,"-")</f>
        <v/>
      </c>
      <c r="V100" s="14">
        <f>IFERROR((V48-Q48)/Q48,"-")</f>
        <v/>
      </c>
      <c r="W100" s="23">
        <f>IFERROR((W48-R48)/R48,"-")</f>
        <v/>
      </c>
      <c r="X100" s="22">
        <f>IFERROR((X48-S48)/S48,"-")</f>
        <v/>
      </c>
    </row>
    <row r="101">
      <c r="A101" s="9" t="inlineStr">
        <is>
          <t>QLYS</t>
        </is>
      </c>
      <c r="D101" s="7" t="n"/>
      <c r="H101" s="8" t="n"/>
      <c r="I101" s="22">
        <f>IFERROR((I49-D49)/D49,"-")</f>
        <v/>
      </c>
      <c r="J101" s="14">
        <f>IFERROR((J49-E49)/E49,"-")</f>
        <v/>
      </c>
      <c r="K101" s="14">
        <f>IFERROR((K49-F49)/F49,"-")</f>
        <v/>
      </c>
      <c r="L101" s="14">
        <f>IFERROR((L49-G49)/G49,"-")</f>
        <v/>
      </c>
      <c r="M101" s="23">
        <f>IFERROR((M49-H49)/H49,"-")</f>
        <v/>
      </c>
      <c r="N101" s="22">
        <f>IFERROR((N49-I49)/I49,"-")</f>
        <v/>
      </c>
      <c r="O101" s="14">
        <f>IFERROR((O49-J49)/J49,"-")</f>
        <v/>
      </c>
      <c r="P101" s="14">
        <f>IFERROR((P49-K49)/K49,"-")</f>
        <v/>
      </c>
      <c r="Q101" s="14">
        <f>IFERROR((Q49-L49)/L49,"-")</f>
        <v/>
      </c>
      <c r="R101" s="23">
        <f>IFERROR((R49-M49)/M49,"-")</f>
        <v/>
      </c>
      <c r="S101" s="22">
        <f>IFERROR((S49-N49)/N49,"-")</f>
        <v/>
      </c>
      <c r="T101" s="14">
        <f>IFERROR((T49-O49)/O49,"-")</f>
        <v/>
      </c>
      <c r="U101" s="14">
        <f>IFERROR((U49-P49)/P49,"-")</f>
        <v/>
      </c>
      <c r="V101" s="14">
        <f>IFERROR((V49-Q49)/Q49,"-")</f>
        <v/>
      </c>
      <c r="W101" s="23">
        <f>IFERROR((W49-R49)/R49,"-")</f>
        <v/>
      </c>
      <c r="X101" s="22">
        <f>IFERROR((X49-S49)/S49,"-")</f>
        <v/>
      </c>
    </row>
    <row r="102">
      <c r="A102" s="9" t="inlineStr">
        <is>
          <t>NCNO</t>
        </is>
      </c>
      <c r="D102" s="7" t="n"/>
      <c r="H102" s="8" t="n"/>
      <c r="I102" s="22">
        <f>IFERROR((I50-D50)/D50,"-")</f>
        <v/>
      </c>
      <c r="J102" s="14">
        <f>IFERROR((J50-E50)/E50,"-")</f>
        <v/>
      </c>
      <c r="K102" s="14">
        <f>IFERROR((K50-F50)/F50,"-")</f>
        <v/>
      </c>
      <c r="L102" s="14">
        <f>IFERROR((L50-G50)/G50,"-")</f>
        <v/>
      </c>
      <c r="M102" s="23">
        <f>IFERROR((M50-H50)/H50,"-")</f>
        <v/>
      </c>
      <c r="N102" s="22">
        <f>IFERROR((N50-I50)/I50,"-")</f>
        <v/>
      </c>
      <c r="O102" s="14">
        <f>IFERROR((O50-J50)/J50,"-")</f>
        <v/>
      </c>
      <c r="P102" s="14">
        <f>IFERROR((P50-K50)/K50,"-")</f>
        <v/>
      </c>
      <c r="Q102" s="14">
        <f>IFERROR((Q50-L50)/L50,"-")</f>
        <v/>
      </c>
      <c r="R102" s="23">
        <f>IFERROR((R50-M50)/M50,"-")</f>
        <v/>
      </c>
      <c r="S102" s="22">
        <f>IFERROR((S50-N50)/N50,"-")</f>
        <v/>
      </c>
      <c r="T102" s="14">
        <f>IFERROR((T50-O50)/O50,"-")</f>
        <v/>
      </c>
      <c r="U102" s="14">
        <f>IFERROR((U50-P50)/P50,"-")</f>
        <v/>
      </c>
      <c r="V102" s="14">
        <f>IFERROR((V50-Q50)/Q50,"-")</f>
        <v/>
      </c>
      <c r="W102" s="23">
        <f>IFERROR((W50-R50)/R50,"-")</f>
        <v/>
      </c>
      <c r="X102" s="22">
        <f>IFERROR((X50-S50)/S50,"-")</f>
        <v/>
      </c>
    </row>
    <row r="103">
      <c r="A103" s="9" t="inlineStr">
        <is>
          <t>FROG</t>
        </is>
      </c>
      <c r="D103" s="7" t="n"/>
      <c r="H103" s="8" t="n"/>
      <c r="I103" s="22">
        <f>IFERROR((I51-D51)/D51,"-")</f>
        <v/>
      </c>
      <c r="J103" s="14">
        <f>IFERROR((J51-E51)/E51,"-")</f>
        <v/>
      </c>
      <c r="K103" s="14">
        <f>IFERROR((K51-F51)/F51,"-")</f>
        <v/>
      </c>
      <c r="L103" s="14">
        <f>IFERROR((L51-G51)/G51,"-")</f>
        <v/>
      </c>
      <c r="M103" s="23">
        <f>IFERROR((M51-H51)/H51,"-")</f>
        <v/>
      </c>
      <c r="N103" s="22">
        <f>IFERROR((N51-I51)/I51,"-")</f>
        <v/>
      </c>
      <c r="O103" s="14">
        <f>IFERROR((O51-J51)/J51,"-")</f>
        <v/>
      </c>
      <c r="P103" s="14">
        <f>IFERROR((P51-K51)/K51,"-")</f>
        <v/>
      </c>
      <c r="Q103" s="14">
        <f>IFERROR((Q51-L51)/L51,"-")</f>
        <v/>
      </c>
      <c r="R103" s="23">
        <f>IFERROR((R51-M51)/M51,"-")</f>
        <v/>
      </c>
      <c r="S103" s="22">
        <f>IFERROR((S51-N51)/N51,"-")</f>
        <v/>
      </c>
      <c r="T103" s="14">
        <f>IFERROR((T51-O51)/O51,"-")</f>
        <v/>
      </c>
      <c r="U103" s="14">
        <f>IFERROR((U51-P51)/P51,"-")</f>
        <v/>
      </c>
      <c r="V103" s="14">
        <f>IFERROR((V51-Q51)/Q51,"-")</f>
        <v/>
      </c>
      <c r="W103" s="23">
        <f>IFERROR((W51-R51)/R51,"-")</f>
        <v/>
      </c>
      <c r="X103" s="22">
        <f>IFERROR((X51-S51)/S51,"-")</f>
        <v/>
      </c>
    </row>
    <row r="104">
      <c r="A104" s="17" t="inlineStr">
        <is>
          <t>Total Revenue</t>
        </is>
      </c>
      <c r="B104" s="18" t="n"/>
      <c r="C104" s="18" t="n"/>
      <c r="D104" s="24" t="n"/>
      <c r="E104" s="18" t="n"/>
      <c r="F104" s="18" t="n"/>
      <c r="G104" s="18" t="n"/>
      <c r="H104" s="25" t="n"/>
      <c r="I104" s="26">
        <f>IFERROR((I52-D52)/D52,"-")</f>
        <v/>
      </c>
      <c r="J104" s="27">
        <f>IFERROR((J52-E52)/E52,"-")</f>
        <v/>
      </c>
      <c r="K104" s="27">
        <f>IFERROR((K52-F52)/F52,"-")</f>
        <v/>
      </c>
      <c r="L104" s="27">
        <f>IFERROR((L52-G52)/G52,"-")</f>
        <v/>
      </c>
      <c r="M104" s="28">
        <f>IFERROR((M52-H52)/H52,"-")</f>
        <v/>
      </c>
      <c r="N104" s="26">
        <f>IFERROR((N52-I52)/I52,"-")</f>
        <v/>
      </c>
      <c r="O104" s="27">
        <f>IFERROR((O52-J52)/J52,"-")</f>
        <v/>
      </c>
      <c r="P104" s="27">
        <f>IFERROR((P52-K52)/K52,"-")</f>
        <v/>
      </c>
      <c r="Q104" s="27">
        <f>IFERROR((Q52-L52)/L52,"-")</f>
        <v/>
      </c>
      <c r="R104" s="28">
        <f>IFERROR((R52-M52)/M52,"-")</f>
        <v/>
      </c>
      <c r="S104" s="26">
        <f>IFERROR((S52-N52)/N52,"-")</f>
        <v/>
      </c>
      <c r="T104" s="27">
        <f>IFERROR((T52-O52)/O52,"-")</f>
        <v/>
      </c>
      <c r="U104" s="27">
        <f>IFERROR((U52-P52)/P52,"-")</f>
        <v/>
      </c>
      <c r="V104" s="27">
        <f>IFERROR((V52-Q52)/Q52,"-")</f>
        <v/>
      </c>
      <c r="W104" s="28">
        <f>IFERROR((W52-R52)/R52,"-")</f>
        <v/>
      </c>
      <c r="X104" s="26">
        <f>IFERROR((X52-S52)/S52,"-")</f>
        <v/>
      </c>
    </row>
    <row r="105">
      <c r="D105" s="7" t="n"/>
      <c r="H105" s="8" t="n"/>
      <c r="I105" s="7" t="n"/>
      <c r="M105" s="8" t="n"/>
      <c r="N105" s="7" t="n"/>
      <c r="R105" s="8" t="n"/>
      <c r="S105" s="7" t="n"/>
      <c r="W105" s="8" t="n"/>
      <c r="X105" s="7" t="n"/>
    </row>
    <row r="106">
      <c r="A106" s="3" t="inlineStr">
        <is>
          <t>% QoQ</t>
        </is>
      </c>
      <c r="D106" s="7" t="n"/>
      <c r="H106" s="8" t="n"/>
      <c r="I106" s="7" t="n"/>
      <c r="M106" s="8" t="n"/>
      <c r="N106" s="7" t="n"/>
      <c r="R106" s="8" t="n"/>
      <c r="S106" s="7" t="n"/>
      <c r="W106" s="8" t="n"/>
      <c r="X106" s="7" t="n"/>
    </row>
    <row r="107">
      <c r="A107" s="9" t="inlineStr">
        <is>
          <t>ADBE</t>
        </is>
      </c>
      <c r="D107" s="7" t="n"/>
      <c r="E107" s="14">
        <f>IFERROR((E4-D4)/D4,"-")</f>
        <v/>
      </c>
      <c r="F107" s="14">
        <f>IFERROR((F4-E4)/E4,"-")</f>
        <v/>
      </c>
      <c r="G107" s="14">
        <f>IFERROR((G4-F4)/F4,"-")</f>
        <v/>
      </c>
      <c r="H107" s="8" t="n"/>
      <c r="I107" s="22">
        <f>IFERROR((I4-G4)/G4,"-")</f>
        <v/>
      </c>
      <c r="J107" s="14">
        <f>IFERROR((J4-I4)/I4,"-")</f>
        <v/>
      </c>
      <c r="K107" s="14">
        <f>IFERROR((K4-J4)/J4,"-")</f>
        <v/>
      </c>
      <c r="L107" s="14">
        <f>IFERROR((L4-K4)/K4,"-")</f>
        <v/>
      </c>
      <c r="M107" s="8" t="n"/>
      <c r="N107" s="22">
        <f>IFERROR((N4-L4)/L4,"-")</f>
        <v/>
      </c>
      <c r="O107" s="14">
        <f>IFERROR((O4-N4)/N4,"-")</f>
        <v/>
      </c>
      <c r="P107" s="14">
        <f>IFERROR((P4-O4)/O4,"-")</f>
        <v/>
      </c>
      <c r="Q107" s="14">
        <f>IFERROR((Q4-P4)/P4,"-")</f>
        <v/>
      </c>
      <c r="R107" s="8" t="n"/>
      <c r="S107" s="22">
        <f>IFERROR((S4-Q4)/Q4,"-")</f>
        <v/>
      </c>
      <c r="T107" s="14">
        <f>IFERROR((T4-S4)/S4,"-")</f>
        <v/>
      </c>
      <c r="U107" s="14">
        <f>IFERROR((U4-T4)/T4,"-")</f>
        <v/>
      </c>
      <c r="V107" s="14">
        <f>IFERROR((V4-U4)/U4,"-")</f>
        <v/>
      </c>
      <c r="W107" s="8" t="n"/>
      <c r="X107" s="22">
        <f>IFERROR((X4-V4)/V4,"-")</f>
        <v/>
      </c>
    </row>
    <row r="108">
      <c r="A108" s="9" t="inlineStr">
        <is>
          <t>INTU</t>
        </is>
      </c>
      <c r="D108" s="7" t="n"/>
      <c r="E108" s="14">
        <f>IFERROR((E5-D5)/D5,"-")</f>
        <v/>
      </c>
      <c r="F108" s="14">
        <f>IFERROR((F5-E5)/E5,"-")</f>
        <v/>
      </c>
      <c r="G108" s="14">
        <f>IFERROR((G5-F5)/F5,"-")</f>
        <v/>
      </c>
      <c r="H108" s="8" t="n"/>
      <c r="I108" s="22">
        <f>IFERROR((I5-G5)/G5,"-")</f>
        <v/>
      </c>
      <c r="J108" s="14">
        <f>IFERROR((J5-I5)/I5,"-")</f>
        <v/>
      </c>
      <c r="K108" s="14">
        <f>IFERROR((K5-J5)/J5,"-")</f>
        <v/>
      </c>
      <c r="L108" s="14">
        <f>IFERROR((L5-K5)/K5,"-")</f>
        <v/>
      </c>
      <c r="M108" s="8" t="n"/>
      <c r="N108" s="22">
        <f>IFERROR((N5-L5)/L5,"-")</f>
        <v/>
      </c>
      <c r="O108" s="14">
        <f>IFERROR((O5-N5)/N5,"-")</f>
        <v/>
      </c>
      <c r="P108" s="14">
        <f>IFERROR((P5-O5)/O5,"-")</f>
        <v/>
      </c>
      <c r="Q108" s="14">
        <f>IFERROR((Q5-P5)/P5,"-")</f>
        <v/>
      </c>
      <c r="R108" s="8" t="n"/>
      <c r="S108" s="22">
        <f>IFERROR((S5-Q5)/Q5,"-")</f>
        <v/>
      </c>
      <c r="T108" s="14">
        <f>IFERROR((T5-S5)/S5,"-")</f>
        <v/>
      </c>
      <c r="U108" s="14">
        <f>IFERROR((U5-T5)/T5,"-")</f>
        <v/>
      </c>
      <c r="V108" s="14">
        <f>IFERROR((V5-U5)/U5,"-")</f>
        <v/>
      </c>
      <c r="W108" s="8" t="n"/>
      <c r="X108" s="22">
        <f>IFERROR((X5-V5)/V5,"-")</f>
        <v/>
      </c>
    </row>
    <row r="109">
      <c r="A109" s="9" t="inlineStr">
        <is>
          <t>NOW</t>
        </is>
      </c>
      <c r="D109" s="7" t="n"/>
      <c r="E109" s="14">
        <f>IFERROR((E6-D6)/D6,"-")</f>
        <v/>
      </c>
      <c r="F109" s="14">
        <f>IFERROR((F6-E6)/E6,"-")</f>
        <v/>
      </c>
      <c r="G109" s="14">
        <f>IFERROR((G6-F6)/F6,"-")</f>
        <v/>
      </c>
      <c r="H109" s="8" t="n"/>
      <c r="I109" s="22">
        <f>IFERROR((I6-G6)/G6,"-")</f>
        <v/>
      </c>
      <c r="J109" s="14">
        <f>IFERROR((J6-I6)/I6,"-")</f>
        <v/>
      </c>
      <c r="K109" s="14">
        <f>IFERROR((K6-J6)/J6,"-")</f>
        <v/>
      </c>
      <c r="L109" s="14">
        <f>IFERROR((L6-K6)/K6,"-")</f>
        <v/>
      </c>
      <c r="M109" s="8" t="n"/>
      <c r="N109" s="22">
        <f>IFERROR((N6-L6)/L6,"-")</f>
        <v/>
      </c>
      <c r="O109" s="14">
        <f>IFERROR((O6-N6)/N6,"-")</f>
        <v/>
      </c>
      <c r="P109" s="14">
        <f>IFERROR((P6-O6)/O6,"-")</f>
        <v/>
      </c>
      <c r="Q109" s="14">
        <f>IFERROR((Q6-P6)/P6,"-")</f>
        <v/>
      </c>
      <c r="R109" s="8" t="n"/>
      <c r="S109" s="22">
        <f>IFERROR((S6-Q6)/Q6,"-")</f>
        <v/>
      </c>
      <c r="T109" s="14">
        <f>IFERROR((T6-S6)/S6,"-")</f>
        <v/>
      </c>
      <c r="U109" s="14">
        <f>IFERROR((U6-T6)/T6,"-")</f>
        <v/>
      </c>
      <c r="V109" s="14">
        <f>IFERROR((V6-U6)/U6,"-")</f>
        <v/>
      </c>
      <c r="W109" s="8" t="n"/>
      <c r="X109" s="22">
        <f>IFERROR((X6-V6)/V6,"-")</f>
        <v/>
      </c>
    </row>
    <row r="110">
      <c r="A110" s="9" t="inlineStr">
        <is>
          <t>PANW</t>
        </is>
      </c>
      <c r="D110" s="7" t="n"/>
      <c r="E110" s="14">
        <f>IFERROR((E7-D7)/D7,"-")</f>
        <v/>
      </c>
      <c r="F110" s="14">
        <f>IFERROR((F7-E7)/E7,"-")</f>
        <v/>
      </c>
      <c r="G110" s="14">
        <f>IFERROR((G7-F7)/F7,"-")</f>
        <v/>
      </c>
      <c r="H110" s="8" t="n"/>
      <c r="I110" s="22">
        <f>IFERROR((I7-G7)/G7,"-")</f>
        <v/>
      </c>
      <c r="J110" s="14">
        <f>IFERROR((J7-I7)/I7,"-")</f>
        <v/>
      </c>
      <c r="K110" s="14">
        <f>IFERROR((K7-J7)/J7,"-")</f>
        <v/>
      </c>
      <c r="L110" s="14">
        <f>IFERROR((L7-K7)/K7,"-")</f>
        <v/>
      </c>
      <c r="M110" s="8" t="n"/>
      <c r="N110" s="22">
        <f>IFERROR((N7-L7)/L7,"-")</f>
        <v/>
      </c>
      <c r="O110" s="14">
        <f>IFERROR((O7-N7)/N7,"-")</f>
        <v/>
      </c>
      <c r="P110" s="14">
        <f>IFERROR((P7-O7)/O7,"-")</f>
        <v/>
      </c>
      <c r="Q110" s="14">
        <f>IFERROR((Q7-P7)/P7,"-")</f>
        <v/>
      </c>
      <c r="R110" s="8" t="n"/>
      <c r="S110" s="22">
        <f>IFERROR((S7-Q7)/Q7,"-")</f>
        <v/>
      </c>
      <c r="T110" s="14">
        <f>IFERROR((T7-S7)/S7,"-")</f>
        <v/>
      </c>
      <c r="U110" s="14">
        <f>IFERROR((U7-T7)/T7,"-")</f>
        <v/>
      </c>
      <c r="V110" s="14">
        <f>IFERROR((V7-U7)/U7,"-")</f>
        <v/>
      </c>
      <c r="W110" s="8" t="n"/>
      <c r="X110" s="22">
        <f>IFERROR((X7-V7)/V7,"-")</f>
        <v/>
      </c>
    </row>
    <row r="111">
      <c r="A111" s="9" t="inlineStr">
        <is>
          <t>WDAY</t>
        </is>
      </c>
      <c r="D111" s="7" t="n"/>
      <c r="E111" s="14">
        <f>IFERROR((E8-D8)/D8,"-")</f>
        <v/>
      </c>
      <c r="F111" s="14">
        <f>IFERROR((F8-E8)/E8,"-")</f>
        <v/>
      </c>
      <c r="G111" s="14">
        <f>IFERROR((G8-F8)/F8,"-")</f>
        <v/>
      </c>
      <c r="H111" s="8" t="n"/>
      <c r="I111" s="22">
        <f>IFERROR((I8-G8)/G8,"-")</f>
        <v/>
      </c>
      <c r="J111" s="14">
        <f>IFERROR((J8-I8)/I8,"-")</f>
        <v/>
      </c>
      <c r="K111" s="14">
        <f>IFERROR((K8-J8)/J8,"-")</f>
        <v/>
      </c>
      <c r="L111" s="14">
        <f>IFERROR((L8-K8)/K8,"-")</f>
        <v/>
      </c>
      <c r="M111" s="8" t="n"/>
      <c r="N111" s="22">
        <f>IFERROR((N8-L8)/L8,"-")</f>
        <v/>
      </c>
      <c r="O111" s="14">
        <f>IFERROR((O8-N8)/N8,"-")</f>
        <v/>
      </c>
      <c r="P111" s="14">
        <f>IFERROR((P8-O8)/O8,"-")</f>
        <v/>
      </c>
      <c r="Q111" s="14">
        <f>IFERROR((Q8-P8)/P8,"-")</f>
        <v/>
      </c>
      <c r="R111" s="8" t="n"/>
      <c r="S111" s="22">
        <f>IFERROR((S8-Q8)/Q8,"-")</f>
        <v/>
      </c>
      <c r="T111" s="14">
        <f>IFERROR((T8-S8)/S8,"-")</f>
        <v/>
      </c>
      <c r="U111" s="14">
        <f>IFERROR((U8-T8)/T8,"-")</f>
        <v/>
      </c>
      <c r="V111" s="14">
        <f>IFERROR((V8-U8)/U8,"-")</f>
        <v/>
      </c>
      <c r="W111" s="8" t="n"/>
      <c r="X111" s="22">
        <f>IFERROR((X8-V8)/V8,"-")</f>
        <v/>
      </c>
    </row>
    <row r="112">
      <c r="A112" s="9" t="inlineStr">
        <is>
          <t>SNPS</t>
        </is>
      </c>
      <c r="D112" s="7" t="n"/>
      <c r="E112" s="14">
        <f>IFERROR((E9-D9)/D9,"-")</f>
        <v/>
      </c>
      <c r="F112" s="14">
        <f>IFERROR((F9-E9)/E9,"-")</f>
        <v/>
      </c>
      <c r="G112" s="14">
        <f>IFERROR((G9-F9)/F9,"-")</f>
        <v/>
      </c>
      <c r="H112" s="8" t="n"/>
      <c r="I112" s="22">
        <f>IFERROR((I9-G9)/G9,"-")</f>
        <v/>
      </c>
      <c r="J112" s="14">
        <f>IFERROR((J9-I9)/I9,"-")</f>
        <v/>
      </c>
      <c r="K112" s="14">
        <f>IFERROR((K9-J9)/J9,"-")</f>
        <v/>
      </c>
      <c r="L112" s="14">
        <f>IFERROR((L9-K9)/K9,"-")</f>
        <v/>
      </c>
      <c r="M112" s="8" t="n"/>
      <c r="N112" s="22">
        <f>IFERROR((N9-L9)/L9,"-")</f>
        <v/>
      </c>
      <c r="O112" s="14">
        <f>IFERROR((O9-N9)/N9,"-")</f>
        <v/>
      </c>
      <c r="P112" s="14">
        <f>IFERROR((P9-O9)/O9,"-")</f>
        <v/>
      </c>
      <c r="Q112" s="14">
        <f>IFERROR((Q9-P9)/P9,"-")</f>
        <v/>
      </c>
      <c r="R112" s="8" t="n"/>
      <c r="S112" s="22">
        <f>IFERROR((S9-Q9)/Q9,"-")</f>
        <v/>
      </c>
      <c r="T112" s="14">
        <f>IFERROR((T9-S9)/S9,"-")</f>
        <v/>
      </c>
      <c r="U112" s="14">
        <f>IFERROR((U9-T9)/T9,"-")</f>
        <v/>
      </c>
      <c r="V112" s="14">
        <f>IFERROR((V9-U9)/U9,"-")</f>
        <v/>
      </c>
      <c r="W112" s="8" t="n"/>
      <c r="X112" s="22">
        <f>IFERROR((X9-V9)/V9,"-")</f>
        <v/>
      </c>
    </row>
    <row r="113">
      <c r="A113" s="9" t="inlineStr">
        <is>
          <t>ROP</t>
        </is>
      </c>
      <c r="D113" s="7" t="n"/>
      <c r="E113" s="14">
        <f>IFERROR((E10-D10)/D10,"-")</f>
        <v/>
      </c>
      <c r="F113" s="14">
        <f>IFERROR((F10-E10)/E10,"-")</f>
        <v/>
      </c>
      <c r="G113" s="14">
        <f>IFERROR((G10-F10)/F10,"-")</f>
        <v/>
      </c>
      <c r="H113" s="8" t="n"/>
      <c r="I113" s="22">
        <f>IFERROR((I10-G10)/G10,"-")</f>
        <v/>
      </c>
      <c r="J113" s="14">
        <f>IFERROR((J10-I10)/I10,"-")</f>
        <v/>
      </c>
      <c r="K113" s="14">
        <f>IFERROR((K10-J10)/J10,"-")</f>
        <v/>
      </c>
      <c r="L113" s="14">
        <f>IFERROR((L10-K10)/K10,"-")</f>
        <v/>
      </c>
      <c r="M113" s="8" t="n"/>
      <c r="N113" s="22">
        <f>IFERROR((N10-L10)/L10,"-")</f>
        <v/>
      </c>
      <c r="O113" s="14">
        <f>IFERROR((O10-N10)/N10,"-")</f>
        <v/>
      </c>
      <c r="P113" s="14">
        <f>IFERROR((P10-O10)/O10,"-")</f>
        <v/>
      </c>
      <c r="Q113" s="14">
        <f>IFERROR((Q10-P10)/P10,"-")</f>
        <v/>
      </c>
      <c r="R113" s="8" t="n"/>
      <c r="S113" s="22">
        <f>IFERROR((S10-Q10)/Q10,"-")</f>
        <v/>
      </c>
      <c r="T113" s="14">
        <f>IFERROR((T10-S10)/S10,"-")</f>
        <v/>
      </c>
      <c r="U113" s="14">
        <f>IFERROR((U10-T10)/T10,"-")</f>
        <v/>
      </c>
      <c r="V113" s="14">
        <f>IFERROR((V10-U10)/U10,"-")</f>
        <v/>
      </c>
      <c r="W113" s="8" t="n"/>
      <c r="X113" s="22">
        <f>IFERROR((X10-V10)/V10,"-")</f>
        <v/>
      </c>
    </row>
    <row r="114">
      <c r="A114" s="9" t="inlineStr">
        <is>
          <t>ADSK</t>
        </is>
      </c>
      <c r="D114" s="7" t="n"/>
      <c r="E114" s="14">
        <f>IFERROR((E11-D11)/D11,"-")</f>
        <v/>
      </c>
      <c r="F114" s="14">
        <f>IFERROR((F11-E11)/E11,"-")</f>
        <v/>
      </c>
      <c r="G114" s="14">
        <f>IFERROR((G11-F11)/F11,"-")</f>
        <v/>
      </c>
      <c r="H114" s="8" t="n"/>
      <c r="I114" s="22">
        <f>IFERROR((I11-G11)/G11,"-")</f>
        <v/>
      </c>
      <c r="J114" s="14">
        <f>IFERROR((J11-I11)/I11,"-")</f>
        <v/>
      </c>
      <c r="K114" s="14">
        <f>IFERROR((K11-J11)/J11,"-")</f>
        <v/>
      </c>
      <c r="L114" s="14">
        <f>IFERROR((L11-K11)/K11,"-")</f>
        <v/>
      </c>
      <c r="M114" s="8" t="n"/>
      <c r="N114" s="22">
        <f>IFERROR((N11-L11)/L11,"-")</f>
        <v/>
      </c>
      <c r="O114" s="14">
        <f>IFERROR((O11-N11)/N11,"-")</f>
        <v/>
      </c>
      <c r="P114" s="14">
        <f>IFERROR((P11-O11)/O11,"-")</f>
        <v/>
      </c>
      <c r="Q114" s="14">
        <f>IFERROR((Q11-P11)/P11,"-")</f>
        <v/>
      </c>
      <c r="R114" s="8" t="n"/>
      <c r="S114" s="22">
        <f>IFERROR((S11-Q11)/Q11,"-")</f>
        <v/>
      </c>
      <c r="T114" s="14">
        <f>IFERROR((T11-S11)/S11,"-")</f>
        <v/>
      </c>
      <c r="U114" s="14">
        <f>IFERROR((U11-T11)/T11,"-")</f>
        <v/>
      </c>
      <c r="V114" s="14">
        <f>IFERROR((V11-U11)/U11,"-")</f>
        <v/>
      </c>
      <c r="W114" s="8" t="n"/>
      <c r="X114" s="22">
        <f>IFERROR((X11-V11)/V11,"-")</f>
        <v/>
      </c>
    </row>
    <row r="115">
      <c r="A115" s="9" t="inlineStr">
        <is>
          <t>FTNT</t>
        </is>
      </c>
      <c r="D115" s="7" t="n"/>
      <c r="E115" s="14">
        <f>IFERROR((E12-D12)/D12,"-")</f>
        <v/>
      </c>
      <c r="F115" s="14">
        <f>IFERROR((F12-E12)/E12,"-")</f>
        <v/>
      </c>
      <c r="G115" s="14">
        <f>IFERROR((G12-F12)/F12,"-")</f>
        <v/>
      </c>
      <c r="H115" s="8" t="n"/>
      <c r="I115" s="22">
        <f>IFERROR((I12-G12)/G12,"-")</f>
        <v/>
      </c>
      <c r="J115" s="14">
        <f>IFERROR((J12-I12)/I12,"-")</f>
        <v/>
      </c>
      <c r="K115" s="14">
        <f>IFERROR((K12-J12)/J12,"-")</f>
        <v/>
      </c>
      <c r="L115" s="14">
        <f>IFERROR((L12-K12)/K12,"-")</f>
        <v/>
      </c>
      <c r="M115" s="8" t="n"/>
      <c r="N115" s="22">
        <f>IFERROR((N12-L12)/L12,"-")</f>
        <v/>
      </c>
      <c r="O115" s="14">
        <f>IFERROR((O12-N12)/N12,"-")</f>
        <v/>
      </c>
      <c r="P115" s="14">
        <f>IFERROR((P12-O12)/O12,"-")</f>
        <v/>
      </c>
      <c r="Q115" s="14">
        <f>IFERROR((Q12-P12)/P12,"-")</f>
        <v/>
      </c>
      <c r="R115" s="8" t="n"/>
      <c r="S115" s="22">
        <f>IFERROR((S12-Q12)/Q12,"-")</f>
        <v/>
      </c>
      <c r="T115" s="14">
        <f>IFERROR((T12-S12)/S12,"-")</f>
        <v/>
      </c>
      <c r="U115" s="14">
        <f>IFERROR((U12-T12)/T12,"-")</f>
        <v/>
      </c>
      <c r="V115" s="14">
        <f>IFERROR((V12-U12)/U12,"-")</f>
        <v/>
      </c>
      <c r="W115" s="8" t="n"/>
      <c r="X115" s="22">
        <f>IFERROR((X12-V12)/V12,"-")</f>
        <v/>
      </c>
    </row>
    <row r="116">
      <c r="A116" s="9" t="inlineStr">
        <is>
          <t>TOST</t>
        </is>
      </c>
      <c r="D116" s="7" t="n"/>
      <c r="E116" s="14">
        <f>IFERROR((E13-D13)/D13,"-")</f>
        <v/>
      </c>
      <c r="F116" s="14">
        <f>IFERROR((F13-E13)/E13,"-")</f>
        <v/>
      </c>
      <c r="G116" s="14">
        <f>IFERROR((G13-F13)/F13,"-")</f>
        <v/>
      </c>
      <c r="H116" s="8" t="n"/>
      <c r="I116" s="22">
        <f>IFERROR((I13-G13)/G13,"-")</f>
        <v/>
      </c>
      <c r="J116" s="14">
        <f>IFERROR((J13-I13)/I13,"-")</f>
        <v/>
      </c>
      <c r="K116" s="14">
        <f>IFERROR((K13-J13)/J13,"-")</f>
        <v/>
      </c>
      <c r="L116" s="14">
        <f>IFERROR((L13-K13)/K13,"-")</f>
        <v/>
      </c>
      <c r="M116" s="8" t="n"/>
      <c r="N116" s="22">
        <f>IFERROR((N13-L13)/L13,"-")</f>
        <v/>
      </c>
      <c r="O116" s="14">
        <f>IFERROR((O13-N13)/N13,"-")</f>
        <v/>
      </c>
      <c r="P116" s="14">
        <f>IFERROR((P13-O13)/O13,"-")</f>
        <v/>
      </c>
      <c r="Q116" s="14">
        <f>IFERROR((Q13-P13)/P13,"-")</f>
        <v/>
      </c>
      <c r="R116" s="8" t="n"/>
      <c r="S116" s="22">
        <f>IFERROR((S13-Q13)/Q13,"-")</f>
        <v/>
      </c>
      <c r="T116" s="14">
        <f>IFERROR((T13-S13)/S13,"-")</f>
        <v/>
      </c>
      <c r="U116" s="14">
        <f>IFERROR((U13-T13)/T13,"-")</f>
        <v/>
      </c>
      <c r="V116" s="14">
        <f>IFERROR((V13-U13)/U13,"-")</f>
        <v/>
      </c>
      <c r="W116" s="8" t="n"/>
      <c r="X116" s="22">
        <f>IFERROR((X13-V13)/V13,"-")</f>
        <v/>
      </c>
    </row>
    <row r="117">
      <c r="A117" s="9" t="inlineStr">
        <is>
          <t>TEAM</t>
        </is>
      </c>
      <c r="D117" s="7" t="n"/>
      <c r="E117" s="14">
        <f>IFERROR((E14-D14)/D14,"-")</f>
        <v/>
      </c>
      <c r="F117" s="14">
        <f>IFERROR((F14-E14)/E14,"-")</f>
        <v/>
      </c>
      <c r="G117" s="14">
        <f>IFERROR((G14-F14)/F14,"-")</f>
        <v/>
      </c>
      <c r="H117" s="8" t="n"/>
      <c r="I117" s="22">
        <f>IFERROR((I14-G14)/G14,"-")</f>
        <v/>
      </c>
      <c r="J117" s="14">
        <f>IFERROR((J14-I14)/I14,"-")</f>
        <v/>
      </c>
      <c r="K117" s="14">
        <f>IFERROR((K14-J14)/J14,"-")</f>
        <v/>
      </c>
      <c r="L117" s="14">
        <f>IFERROR((L14-K14)/K14,"-")</f>
        <v/>
      </c>
      <c r="M117" s="8" t="n"/>
      <c r="N117" s="22">
        <f>IFERROR((N14-L14)/L14,"-")</f>
        <v/>
      </c>
      <c r="O117" s="14">
        <f>IFERROR((O14-N14)/N14,"-")</f>
        <v/>
      </c>
      <c r="P117" s="14">
        <f>IFERROR((P14-O14)/O14,"-")</f>
        <v/>
      </c>
      <c r="Q117" s="14">
        <f>IFERROR((Q14-P14)/P14,"-")</f>
        <v/>
      </c>
      <c r="R117" s="8" t="n"/>
      <c r="S117" s="22">
        <f>IFERROR((S14-Q14)/Q14,"-")</f>
        <v/>
      </c>
      <c r="T117" s="14">
        <f>IFERROR((T14-S14)/S14,"-")</f>
        <v/>
      </c>
      <c r="U117" s="14">
        <f>IFERROR((U14-T14)/T14,"-")</f>
        <v/>
      </c>
      <c r="V117" s="14">
        <f>IFERROR((V14-U14)/U14,"-")</f>
        <v/>
      </c>
      <c r="W117" s="8" t="n"/>
      <c r="X117" s="22">
        <f>IFERROR((X14-V14)/V14,"-")</f>
        <v/>
      </c>
    </row>
    <row r="118">
      <c r="A118" s="9" t="inlineStr">
        <is>
          <t>APP</t>
        </is>
      </c>
      <c r="D118" s="7" t="n"/>
      <c r="E118" s="14">
        <f>IFERROR((E15-D15)/D15,"-")</f>
        <v/>
      </c>
      <c r="F118" s="14">
        <f>IFERROR((F15-E15)/E15,"-")</f>
        <v/>
      </c>
      <c r="G118" s="14">
        <f>IFERROR((G15-F15)/F15,"-")</f>
        <v/>
      </c>
      <c r="H118" s="8" t="n"/>
      <c r="I118" s="22">
        <f>IFERROR((I15-G15)/G15,"-")</f>
        <v/>
      </c>
      <c r="J118" s="14">
        <f>IFERROR((J15-I15)/I15,"-")</f>
        <v/>
      </c>
      <c r="K118" s="14">
        <f>IFERROR((K15-J15)/J15,"-")</f>
        <v/>
      </c>
      <c r="L118" s="14">
        <f>IFERROR((L15-K15)/K15,"-")</f>
        <v/>
      </c>
      <c r="M118" s="8" t="n"/>
      <c r="N118" s="22">
        <f>IFERROR((N15-L15)/L15,"-")</f>
        <v/>
      </c>
      <c r="O118" s="14">
        <f>IFERROR((O15-N15)/N15,"-")</f>
        <v/>
      </c>
      <c r="P118" s="14">
        <f>IFERROR((P15-O15)/O15,"-")</f>
        <v/>
      </c>
      <c r="Q118" s="14">
        <f>IFERROR((Q15-P15)/P15,"-")</f>
        <v/>
      </c>
      <c r="R118" s="8" t="n"/>
      <c r="S118" s="22">
        <f>IFERROR((S15-Q15)/Q15,"-")</f>
        <v/>
      </c>
      <c r="T118" s="14">
        <f>IFERROR((T15-S15)/S15,"-")</f>
        <v/>
      </c>
      <c r="U118" s="14">
        <f>IFERROR((U15-T15)/T15,"-")</f>
        <v/>
      </c>
      <c r="V118" s="14">
        <f>IFERROR((V15-U15)/U15,"-")</f>
        <v/>
      </c>
      <c r="W118" s="8" t="n"/>
      <c r="X118" s="22">
        <f>IFERROR((X15-V15)/V15,"-")</f>
        <v/>
      </c>
    </row>
    <row r="119">
      <c r="A119" s="9" t="inlineStr">
        <is>
          <t>CDNS</t>
        </is>
      </c>
      <c r="D119" s="7" t="n"/>
      <c r="E119" s="14">
        <f>IFERROR((E16-D16)/D16,"-")</f>
        <v/>
      </c>
      <c r="F119" s="14">
        <f>IFERROR((F16-E16)/E16,"-")</f>
        <v/>
      </c>
      <c r="G119" s="14">
        <f>IFERROR((G16-F16)/F16,"-")</f>
        <v/>
      </c>
      <c r="H119" s="8" t="n"/>
      <c r="I119" s="22">
        <f>IFERROR((I16-G16)/G16,"-")</f>
        <v/>
      </c>
      <c r="J119" s="14">
        <f>IFERROR((J16-I16)/I16,"-")</f>
        <v/>
      </c>
      <c r="K119" s="14">
        <f>IFERROR((K16-J16)/J16,"-")</f>
        <v/>
      </c>
      <c r="L119" s="14">
        <f>IFERROR((L16-K16)/K16,"-")</f>
        <v/>
      </c>
      <c r="M119" s="8" t="n"/>
      <c r="N119" s="22">
        <f>IFERROR((N16-L16)/L16,"-")</f>
        <v/>
      </c>
      <c r="O119" s="14">
        <f>IFERROR((O16-N16)/N16,"-")</f>
        <v/>
      </c>
      <c r="P119" s="14">
        <f>IFERROR((P16-O16)/O16,"-")</f>
        <v/>
      </c>
      <c r="Q119" s="14">
        <f>IFERROR((Q16-P16)/P16,"-")</f>
        <v/>
      </c>
      <c r="R119" s="8" t="n"/>
      <c r="S119" s="22">
        <f>IFERROR((S16-Q16)/Q16,"-")</f>
        <v/>
      </c>
      <c r="T119" s="14">
        <f>IFERROR((T16-S16)/S16,"-")</f>
        <v/>
      </c>
      <c r="U119" s="14">
        <f>IFERROR((U16-T16)/T16,"-")</f>
        <v/>
      </c>
      <c r="V119" s="14">
        <f>IFERROR((V16-U16)/U16,"-")</f>
        <v/>
      </c>
      <c r="W119" s="8" t="n"/>
      <c r="X119" s="22">
        <f>IFERROR((X16-V16)/V16,"-")</f>
        <v/>
      </c>
    </row>
    <row r="120">
      <c r="A120" s="9" t="inlineStr">
        <is>
          <t>CRWD</t>
        </is>
      </c>
      <c r="D120" s="7" t="n"/>
      <c r="E120" s="14">
        <f>IFERROR((E17-D17)/D17,"-")</f>
        <v/>
      </c>
      <c r="F120" s="14">
        <f>IFERROR((F17-E17)/E17,"-")</f>
        <v/>
      </c>
      <c r="G120" s="14">
        <f>IFERROR((G17-F17)/F17,"-")</f>
        <v/>
      </c>
      <c r="H120" s="8" t="n"/>
      <c r="I120" s="22">
        <f>IFERROR((I17-G17)/G17,"-")</f>
        <v/>
      </c>
      <c r="J120" s="14">
        <f>IFERROR((J17-I17)/I17,"-")</f>
        <v/>
      </c>
      <c r="K120" s="14">
        <f>IFERROR((K17-J17)/J17,"-")</f>
        <v/>
      </c>
      <c r="L120" s="14">
        <f>IFERROR((L17-K17)/K17,"-")</f>
        <v/>
      </c>
      <c r="M120" s="8" t="n"/>
      <c r="N120" s="22">
        <f>IFERROR((N17-L17)/L17,"-")</f>
        <v/>
      </c>
      <c r="O120" s="14">
        <f>IFERROR((O17-N17)/N17,"-")</f>
        <v/>
      </c>
      <c r="P120" s="14">
        <f>IFERROR((P17-O17)/O17,"-")</f>
        <v/>
      </c>
      <c r="Q120" s="14">
        <f>IFERROR((Q17-P17)/P17,"-")</f>
        <v/>
      </c>
      <c r="R120" s="8" t="n"/>
      <c r="S120" s="22">
        <f>IFERROR((S17-Q17)/Q17,"-")</f>
        <v/>
      </c>
      <c r="T120" s="14">
        <f>IFERROR((T17-S17)/S17,"-")</f>
        <v/>
      </c>
      <c r="U120" s="14">
        <f>IFERROR((U17-T17)/T17,"-")</f>
        <v/>
      </c>
      <c r="V120" s="14">
        <f>IFERROR((V17-U17)/U17,"-")</f>
        <v/>
      </c>
      <c r="W120" s="8" t="n"/>
      <c r="X120" s="22">
        <f>IFERROR((X17-V17)/V17,"-")</f>
        <v/>
      </c>
    </row>
    <row r="121">
      <c r="A121" s="9" t="inlineStr">
        <is>
          <t>SNOW</t>
        </is>
      </c>
      <c r="D121" s="7" t="n"/>
      <c r="E121" s="14">
        <f>IFERROR((E18-D18)/D18,"-")</f>
        <v/>
      </c>
      <c r="F121" s="14">
        <f>IFERROR((F18-E18)/E18,"-")</f>
        <v/>
      </c>
      <c r="G121" s="14">
        <f>IFERROR((G18-F18)/F18,"-")</f>
        <v/>
      </c>
      <c r="H121" s="8" t="n"/>
      <c r="I121" s="22">
        <f>IFERROR((I18-G18)/G18,"-")</f>
        <v/>
      </c>
      <c r="J121" s="14">
        <f>IFERROR((J18-I18)/I18,"-")</f>
        <v/>
      </c>
      <c r="K121" s="14">
        <f>IFERROR((K18-J18)/J18,"-")</f>
        <v/>
      </c>
      <c r="L121" s="14">
        <f>IFERROR((L18-K18)/K18,"-")</f>
        <v/>
      </c>
      <c r="M121" s="8" t="n"/>
      <c r="N121" s="22">
        <f>IFERROR((N18-L18)/L18,"-")</f>
        <v/>
      </c>
      <c r="O121" s="14">
        <f>IFERROR((O18-N18)/N18,"-")</f>
        <v/>
      </c>
      <c r="P121" s="14">
        <f>IFERROR((P18-O18)/O18,"-")</f>
        <v/>
      </c>
      <c r="Q121" s="14">
        <f>IFERROR((Q18-P18)/P18,"-")</f>
        <v/>
      </c>
      <c r="R121" s="8" t="n"/>
      <c r="S121" s="22">
        <f>IFERROR((S18-Q18)/Q18,"-")</f>
        <v/>
      </c>
      <c r="T121" s="14">
        <f>IFERROR((T18-S18)/S18,"-")</f>
        <v/>
      </c>
      <c r="U121" s="14">
        <f>IFERROR((U18-T18)/T18,"-")</f>
        <v/>
      </c>
      <c r="V121" s="14">
        <f>IFERROR((V18-U18)/U18,"-")</f>
        <v/>
      </c>
      <c r="W121" s="8" t="n"/>
      <c r="X121" s="22">
        <f>IFERROR((X18-V18)/V18,"-")</f>
        <v/>
      </c>
    </row>
    <row r="122">
      <c r="A122" s="9" t="inlineStr">
        <is>
          <t>PLTR</t>
        </is>
      </c>
      <c r="D122" s="7" t="n"/>
      <c r="E122" s="14">
        <f>IFERROR((E19-D19)/D19,"-")</f>
        <v/>
      </c>
      <c r="F122" s="14">
        <f>IFERROR((F19-E19)/E19,"-")</f>
        <v/>
      </c>
      <c r="G122" s="14">
        <f>IFERROR((G19-F19)/F19,"-")</f>
        <v/>
      </c>
      <c r="H122" s="8" t="n"/>
      <c r="I122" s="22">
        <f>IFERROR((I19-G19)/G19,"-")</f>
        <v/>
      </c>
      <c r="J122" s="14">
        <f>IFERROR((J19-I19)/I19,"-")</f>
        <v/>
      </c>
      <c r="K122" s="14">
        <f>IFERROR((K19-J19)/J19,"-")</f>
        <v/>
      </c>
      <c r="L122" s="14">
        <f>IFERROR((L19-K19)/K19,"-")</f>
        <v/>
      </c>
      <c r="M122" s="8" t="n"/>
      <c r="N122" s="22">
        <f>IFERROR((N19-L19)/L19,"-")</f>
        <v/>
      </c>
      <c r="O122" s="14">
        <f>IFERROR((O19-N19)/N19,"-")</f>
        <v/>
      </c>
      <c r="P122" s="14">
        <f>IFERROR((P19-O19)/O19,"-")</f>
        <v/>
      </c>
      <c r="Q122" s="14">
        <f>IFERROR((Q19-P19)/P19,"-")</f>
        <v/>
      </c>
      <c r="R122" s="8" t="n"/>
      <c r="S122" s="22">
        <f>IFERROR((S19-Q19)/Q19,"-")</f>
        <v/>
      </c>
      <c r="T122" s="14">
        <f>IFERROR((T19-S19)/S19,"-")</f>
        <v/>
      </c>
      <c r="U122" s="14">
        <f>IFERROR((U19-T19)/T19,"-")</f>
        <v/>
      </c>
      <c r="V122" s="14">
        <f>IFERROR((V19-U19)/U19,"-")</f>
        <v/>
      </c>
      <c r="W122" s="8" t="n"/>
      <c r="X122" s="22">
        <f>IFERROR((X19-V19)/V19,"-")</f>
        <v/>
      </c>
    </row>
    <row r="123">
      <c r="A123" s="9" t="inlineStr">
        <is>
          <t>DDOG</t>
        </is>
      </c>
      <c r="D123" s="7" t="n"/>
      <c r="E123" s="14">
        <f>IFERROR((E20-D20)/D20,"-")</f>
        <v/>
      </c>
      <c r="F123" s="14">
        <f>IFERROR((F20-E20)/E20,"-")</f>
        <v/>
      </c>
      <c r="G123" s="14">
        <f>IFERROR((G20-F20)/F20,"-")</f>
        <v/>
      </c>
      <c r="H123" s="8" t="n"/>
      <c r="I123" s="22">
        <f>IFERROR((I20-G20)/G20,"-")</f>
        <v/>
      </c>
      <c r="J123" s="14">
        <f>IFERROR((J20-I20)/I20,"-")</f>
        <v/>
      </c>
      <c r="K123" s="14">
        <f>IFERROR((K20-J20)/J20,"-")</f>
        <v/>
      </c>
      <c r="L123" s="14">
        <f>IFERROR((L20-K20)/K20,"-")</f>
        <v/>
      </c>
      <c r="M123" s="8" t="n"/>
      <c r="N123" s="22">
        <f>IFERROR((N20-L20)/L20,"-")</f>
        <v/>
      </c>
      <c r="O123" s="14">
        <f>IFERROR((O20-N20)/N20,"-")</f>
        <v/>
      </c>
      <c r="P123" s="14">
        <f>IFERROR((P20-O20)/O20,"-")</f>
        <v/>
      </c>
      <c r="Q123" s="14">
        <f>IFERROR((Q20-P20)/P20,"-")</f>
        <v/>
      </c>
      <c r="R123" s="8" t="n"/>
      <c r="S123" s="22">
        <f>IFERROR((S20-Q20)/Q20,"-")</f>
        <v/>
      </c>
      <c r="T123" s="14">
        <f>IFERROR((T20-S20)/S20,"-")</f>
        <v/>
      </c>
      <c r="U123" s="14">
        <f>IFERROR((U20-T20)/T20,"-")</f>
        <v/>
      </c>
      <c r="V123" s="14">
        <f>IFERROR((V20-U20)/U20,"-")</f>
        <v/>
      </c>
      <c r="W123" s="8" t="n"/>
      <c r="X123" s="22">
        <f>IFERROR((X20-V20)/V20,"-")</f>
        <v/>
      </c>
    </row>
    <row r="124">
      <c r="A124" s="9" t="inlineStr">
        <is>
          <t>VEEV</t>
        </is>
      </c>
      <c r="D124" s="7" t="n"/>
      <c r="E124" s="14">
        <f>IFERROR((E21-D21)/D21,"-")</f>
        <v/>
      </c>
      <c r="F124" s="14">
        <f>IFERROR((F21-E21)/E21,"-")</f>
        <v/>
      </c>
      <c r="G124" s="14">
        <f>IFERROR((G21-F21)/F21,"-")</f>
        <v/>
      </c>
      <c r="H124" s="8" t="n"/>
      <c r="I124" s="22">
        <f>IFERROR((I21-G21)/G21,"-")</f>
        <v/>
      </c>
      <c r="J124" s="14">
        <f>IFERROR((J21-I21)/I21,"-")</f>
        <v/>
      </c>
      <c r="K124" s="14">
        <f>IFERROR((K21-J21)/J21,"-")</f>
        <v/>
      </c>
      <c r="L124" s="14">
        <f>IFERROR((L21-K21)/K21,"-")</f>
        <v/>
      </c>
      <c r="M124" s="8" t="n"/>
      <c r="N124" s="22">
        <f>IFERROR((N21-L21)/L21,"-")</f>
        <v/>
      </c>
      <c r="O124" s="14">
        <f>IFERROR((O21-N21)/N21,"-")</f>
        <v/>
      </c>
      <c r="P124" s="14">
        <f>IFERROR((P21-O21)/O21,"-")</f>
        <v/>
      </c>
      <c r="Q124" s="14">
        <f>IFERROR((Q21-P21)/P21,"-")</f>
        <v/>
      </c>
      <c r="R124" s="8" t="n"/>
      <c r="S124" s="22">
        <f>IFERROR((S21-Q21)/Q21,"-")</f>
        <v/>
      </c>
      <c r="T124" s="14">
        <f>IFERROR((T21-S21)/S21,"-")</f>
        <v/>
      </c>
      <c r="U124" s="14">
        <f>IFERROR((U21-T21)/T21,"-")</f>
        <v/>
      </c>
      <c r="V124" s="14">
        <f>IFERROR((V21-U21)/U21,"-")</f>
        <v/>
      </c>
      <c r="W124" s="8" t="n"/>
      <c r="X124" s="22">
        <f>IFERROR((X21-V21)/V21,"-")</f>
        <v/>
      </c>
    </row>
    <row r="125">
      <c r="A125" s="9" t="inlineStr">
        <is>
          <t>HUBS</t>
        </is>
      </c>
      <c r="D125" s="7" t="n"/>
      <c r="E125" s="14">
        <f>IFERROR((E22-D22)/D22,"-")</f>
        <v/>
      </c>
      <c r="F125" s="14">
        <f>IFERROR((F22-E22)/E22,"-")</f>
        <v/>
      </c>
      <c r="G125" s="14">
        <f>IFERROR((G22-F22)/F22,"-")</f>
        <v/>
      </c>
      <c r="H125" s="8" t="n"/>
      <c r="I125" s="22">
        <f>IFERROR((I22-G22)/G22,"-")</f>
        <v/>
      </c>
      <c r="J125" s="14">
        <f>IFERROR((J22-I22)/I22,"-")</f>
        <v/>
      </c>
      <c r="K125" s="14">
        <f>IFERROR((K22-J22)/J22,"-")</f>
        <v/>
      </c>
      <c r="L125" s="14">
        <f>IFERROR((L22-K22)/K22,"-")</f>
        <v/>
      </c>
      <c r="M125" s="8" t="n"/>
      <c r="N125" s="22">
        <f>IFERROR((N22-L22)/L22,"-")</f>
        <v/>
      </c>
      <c r="O125" s="14">
        <f>IFERROR((O22-N22)/N22,"-")</f>
        <v/>
      </c>
      <c r="P125" s="14">
        <f>IFERROR((P22-O22)/O22,"-")</f>
        <v/>
      </c>
      <c r="Q125" s="14">
        <f>IFERROR((Q22-P22)/P22,"-")</f>
        <v/>
      </c>
      <c r="R125" s="8" t="n"/>
      <c r="S125" s="22">
        <f>IFERROR((S22-Q22)/Q22,"-")</f>
        <v/>
      </c>
      <c r="T125" s="14">
        <f>IFERROR((T22-S22)/S22,"-")</f>
        <v/>
      </c>
      <c r="U125" s="14">
        <f>IFERROR((U22-T22)/T22,"-")</f>
        <v/>
      </c>
      <c r="V125" s="14">
        <f>IFERROR((V22-U22)/U22,"-")</f>
        <v/>
      </c>
      <c r="W125" s="8" t="n"/>
      <c r="X125" s="22">
        <f>IFERROR((X22-V22)/V22,"-")</f>
        <v/>
      </c>
    </row>
    <row r="126">
      <c r="A126" s="9" t="inlineStr">
        <is>
          <t>ZS</t>
        </is>
      </c>
      <c r="D126" s="7" t="n"/>
      <c r="E126" s="14">
        <f>IFERROR((E23-D23)/D23,"-")</f>
        <v/>
      </c>
      <c r="F126" s="14">
        <f>IFERROR((F23-E23)/E23,"-")</f>
        <v/>
      </c>
      <c r="G126" s="14">
        <f>IFERROR((G23-F23)/F23,"-")</f>
        <v/>
      </c>
      <c r="H126" s="8" t="n"/>
      <c r="I126" s="22">
        <f>IFERROR((I23-G23)/G23,"-")</f>
        <v/>
      </c>
      <c r="J126" s="14">
        <f>IFERROR((J23-I23)/I23,"-")</f>
        <v/>
      </c>
      <c r="K126" s="14">
        <f>IFERROR((K23-J23)/J23,"-")</f>
        <v/>
      </c>
      <c r="L126" s="14">
        <f>IFERROR((L23-K23)/K23,"-")</f>
        <v/>
      </c>
      <c r="M126" s="8" t="n"/>
      <c r="N126" s="22">
        <f>IFERROR((N23-L23)/L23,"-")</f>
        <v/>
      </c>
      <c r="O126" s="14">
        <f>IFERROR((O23-N23)/N23,"-")</f>
        <v/>
      </c>
      <c r="P126" s="14">
        <f>IFERROR((P23-O23)/O23,"-")</f>
        <v/>
      </c>
      <c r="Q126" s="14">
        <f>IFERROR((Q23-P23)/P23,"-")</f>
        <v/>
      </c>
      <c r="R126" s="8" t="n"/>
      <c r="S126" s="22">
        <f>IFERROR((S23-Q23)/Q23,"-")</f>
        <v/>
      </c>
      <c r="T126" s="14">
        <f>IFERROR((T23-S23)/S23,"-")</f>
        <v/>
      </c>
      <c r="U126" s="14">
        <f>IFERROR((U23-T23)/T23,"-")</f>
        <v/>
      </c>
      <c r="V126" s="14">
        <f>IFERROR((V23-U23)/U23,"-")</f>
        <v/>
      </c>
      <c r="W126" s="8" t="n"/>
      <c r="X126" s="22">
        <f>IFERROR((X23-V23)/V23,"-")</f>
        <v/>
      </c>
    </row>
    <row r="127">
      <c r="A127" s="9" t="inlineStr">
        <is>
          <t>OKTA</t>
        </is>
      </c>
      <c r="D127" s="7" t="n"/>
      <c r="E127" s="14">
        <f>IFERROR((E24-D24)/D24,"-")</f>
        <v/>
      </c>
      <c r="F127" s="14">
        <f>IFERROR((F24-E24)/E24,"-")</f>
        <v/>
      </c>
      <c r="G127" s="14">
        <f>IFERROR((G24-F24)/F24,"-")</f>
        <v/>
      </c>
      <c r="H127" s="8" t="n"/>
      <c r="I127" s="22">
        <f>IFERROR((I24-G24)/G24,"-")</f>
        <v/>
      </c>
      <c r="J127" s="14">
        <f>IFERROR((J24-I24)/I24,"-")</f>
        <v/>
      </c>
      <c r="K127" s="14">
        <f>IFERROR((K24-J24)/J24,"-")</f>
        <v/>
      </c>
      <c r="L127" s="14">
        <f>IFERROR((L24-K24)/K24,"-")</f>
        <v/>
      </c>
      <c r="M127" s="8" t="n"/>
      <c r="N127" s="22">
        <f>IFERROR((N24-L24)/L24,"-")</f>
        <v/>
      </c>
      <c r="O127" s="14">
        <f>IFERROR((O24-N24)/N24,"-")</f>
        <v/>
      </c>
      <c r="P127" s="14">
        <f>IFERROR((P24-O24)/O24,"-")</f>
        <v/>
      </c>
      <c r="Q127" s="14">
        <f>IFERROR((Q24-P24)/P24,"-")</f>
        <v/>
      </c>
      <c r="R127" s="8" t="n"/>
      <c r="S127" s="22">
        <f>IFERROR((S24-Q24)/Q24,"-")</f>
        <v/>
      </c>
      <c r="T127" s="14">
        <f>IFERROR((T24-S24)/S24,"-")</f>
        <v/>
      </c>
      <c r="U127" s="14">
        <f>IFERROR((U24-T24)/T24,"-")</f>
        <v/>
      </c>
      <c r="V127" s="14">
        <f>IFERROR((V24-U24)/U24,"-")</f>
        <v/>
      </c>
      <c r="W127" s="8" t="n"/>
      <c r="X127" s="22">
        <f>IFERROR((X24-V24)/V24,"-")</f>
        <v/>
      </c>
    </row>
    <row r="128">
      <c r="A128" s="9" t="inlineStr">
        <is>
          <t>TTD</t>
        </is>
      </c>
      <c r="D128" s="7" t="n"/>
      <c r="E128" s="14">
        <f>IFERROR((E25-D25)/D25,"-")</f>
        <v/>
      </c>
      <c r="F128" s="14">
        <f>IFERROR((F25-E25)/E25,"-")</f>
        <v/>
      </c>
      <c r="G128" s="14">
        <f>IFERROR((G25-F25)/F25,"-")</f>
        <v/>
      </c>
      <c r="H128" s="8" t="n"/>
      <c r="I128" s="22">
        <f>IFERROR((I25-G25)/G25,"-")</f>
        <v/>
      </c>
      <c r="J128" s="14">
        <f>IFERROR((J25-I25)/I25,"-")</f>
        <v/>
      </c>
      <c r="K128" s="14">
        <f>IFERROR((K25-J25)/J25,"-")</f>
        <v/>
      </c>
      <c r="L128" s="14">
        <f>IFERROR((L25-K25)/K25,"-")</f>
        <v/>
      </c>
      <c r="M128" s="8" t="n"/>
      <c r="N128" s="22">
        <f>IFERROR((N25-L25)/L25,"-")</f>
        <v/>
      </c>
      <c r="O128" s="14">
        <f>IFERROR((O25-N25)/N25,"-")</f>
        <v/>
      </c>
      <c r="P128" s="14">
        <f>IFERROR((P25-O25)/O25,"-")</f>
        <v/>
      </c>
      <c r="Q128" s="14">
        <f>IFERROR((Q25-P25)/P25,"-")</f>
        <v/>
      </c>
      <c r="R128" s="8" t="n"/>
      <c r="S128" s="22">
        <f>IFERROR((S25-Q25)/Q25,"-")</f>
        <v/>
      </c>
      <c r="T128" s="14">
        <f>IFERROR((T25-S25)/S25,"-")</f>
        <v/>
      </c>
      <c r="U128" s="14">
        <f>IFERROR((U25-T25)/T25,"-")</f>
        <v/>
      </c>
      <c r="V128" s="14">
        <f>IFERROR((V25-U25)/U25,"-")</f>
        <v/>
      </c>
      <c r="W128" s="8" t="n"/>
      <c r="X128" s="22">
        <f>IFERROR((X25-V25)/V25,"-")</f>
        <v/>
      </c>
    </row>
    <row r="129">
      <c r="A129" s="9" t="inlineStr">
        <is>
          <t>MDB</t>
        </is>
      </c>
      <c r="D129" s="7" t="n"/>
      <c r="E129" s="14">
        <f>IFERROR((E26-D26)/D26,"-")</f>
        <v/>
      </c>
      <c r="F129" s="14">
        <f>IFERROR((F26-E26)/E26,"-")</f>
        <v/>
      </c>
      <c r="G129" s="14">
        <f>IFERROR((G26-F26)/F26,"-")</f>
        <v/>
      </c>
      <c r="H129" s="8" t="n"/>
      <c r="I129" s="22">
        <f>IFERROR((I26-G26)/G26,"-")</f>
        <v/>
      </c>
      <c r="J129" s="14">
        <f>IFERROR((J26-I26)/I26,"-")</f>
        <v/>
      </c>
      <c r="K129" s="14">
        <f>IFERROR((K26-J26)/J26,"-")</f>
        <v/>
      </c>
      <c r="L129" s="14">
        <f>IFERROR((L26-K26)/K26,"-")</f>
        <v/>
      </c>
      <c r="M129" s="8" t="n"/>
      <c r="N129" s="22">
        <f>IFERROR((N26-L26)/L26,"-")</f>
        <v/>
      </c>
      <c r="O129" s="14">
        <f>IFERROR((O26-N26)/N26,"-")</f>
        <v/>
      </c>
      <c r="P129" s="14">
        <f>IFERROR((P26-O26)/O26,"-")</f>
        <v/>
      </c>
      <c r="Q129" s="14">
        <f>IFERROR((Q26-P26)/P26,"-")</f>
        <v/>
      </c>
      <c r="R129" s="8" t="n"/>
      <c r="S129" s="22">
        <f>IFERROR((S26-Q26)/Q26,"-")</f>
        <v/>
      </c>
      <c r="T129" s="14">
        <f>IFERROR((T26-S26)/S26,"-")</f>
        <v/>
      </c>
      <c r="U129" s="14">
        <f>IFERROR((U26-T26)/T26,"-")</f>
        <v/>
      </c>
      <c r="V129" s="14">
        <f>IFERROR((V26-U26)/U26,"-")</f>
        <v/>
      </c>
      <c r="W129" s="8" t="n"/>
      <c r="X129" s="22">
        <f>IFERROR((X26-V26)/V26,"-")</f>
        <v/>
      </c>
    </row>
    <row r="130">
      <c r="A130" s="9" t="inlineStr">
        <is>
          <t>PAYC</t>
        </is>
      </c>
      <c r="D130" s="7" t="n"/>
      <c r="E130" s="14">
        <f>IFERROR((E27-D27)/D27,"-")</f>
        <v/>
      </c>
      <c r="F130" s="14">
        <f>IFERROR((F27-E27)/E27,"-")</f>
        <v/>
      </c>
      <c r="G130" s="14">
        <f>IFERROR((G27-F27)/F27,"-")</f>
        <v/>
      </c>
      <c r="H130" s="8" t="n"/>
      <c r="I130" s="22">
        <f>IFERROR((I27-G27)/G27,"-")</f>
        <v/>
      </c>
      <c r="J130" s="14">
        <f>IFERROR((J27-I27)/I27,"-")</f>
        <v/>
      </c>
      <c r="K130" s="14">
        <f>IFERROR((K27-J27)/J27,"-")</f>
        <v/>
      </c>
      <c r="L130" s="14">
        <f>IFERROR((L27-K27)/K27,"-")</f>
        <v/>
      </c>
      <c r="M130" s="8" t="n"/>
      <c r="N130" s="22">
        <f>IFERROR((N27-L27)/L27,"-")</f>
        <v/>
      </c>
      <c r="O130" s="14">
        <f>IFERROR((O27-N27)/N27,"-")</f>
        <v/>
      </c>
      <c r="P130" s="14">
        <f>IFERROR((P27-O27)/O27,"-")</f>
        <v/>
      </c>
      <c r="Q130" s="14">
        <f>IFERROR((Q27-P27)/P27,"-")</f>
        <v/>
      </c>
      <c r="R130" s="8" t="n"/>
      <c r="S130" s="22">
        <f>IFERROR((S27-Q27)/Q27,"-")</f>
        <v/>
      </c>
      <c r="T130" s="14">
        <f>IFERROR((T27-S27)/S27,"-")</f>
        <v/>
      </c>
      <c r="U130" s="14">
        <f>IFERROR((U27-T27)/T27,"-")</f>
        <v/>
      </c>
      <c r="V130" s="14">
        <f>IFERROR((V27-U27)/U27,"-")</f>
        <v/>
      </c>
      <c r="W130" s="8" t="n"/>
      <c r="X130" s="22">
        <f>IFERROR((X27-V27)/V27,"-")</f>
        <v/>
      </c>
    </row>
    <row r="131">
      <c r="A131" s="9" t="inlineStr">
        <is>
          <t>DT</t>
        </is>
      </c>
      <c r="D131" s="7" t="n"/>
      <c r="E131" s="14">
        <f>IFERROR((E28-D28)/D28,"-")</f>
        <v/>
      </c>
      <c r="F131" s="14">
        <f>IFERROR((F28-E28)/E28,"-")</f>
        <v/>
      </c>
      <c r="G131" s="14">
        <f>IFERROR((G28-F28)/F28,"-")</f>
        <v/>
      </c>
      <c r="H131" s="8" t="n"/>
      <c r="I131" s="22">
        <f>IFERROR((I28-G28)/G28,"-")</f>
        <v/>
      </c>
      <c r="J131" s="14">
        <f>IFERROR((J28-I28)/I28,"-")</f>
        <v/>
      </c>
      <c r="K131" s="14">
        <f>IFERROR((K28-J28)/J28,"-")</f>
        <v/>
      </c>
      <c r="L131" s="14">
        <f>IFERROR((L28-K28)/K28,"-")</f>
        <v/>
      </c>
      <c r="M131" s="8" t="n"/>
      <c r="N131" s="22">
        <f>IFERROR((N28-L28)/L28,"-")</f>
        <v/>
      </c>
      <c r="O131" s="14">
        <f>IFERROR((O28-N28)/N28,"-")</f>
        <v/>
      </c>
      <c r="P131" s="14">
        <f>IFERROR((P28-O28)/O28,"-")</f>
        <v/>
      </c>
      <c r="Q131" s="14">
        <f>IFERROR((Q28-P28)/P28,"-")</f>
        <v/>
      </c>
      <c r="R131" s="8" t="n"/>
      <c r="S131" s="22">
        <f>IFERROR((S28-Q28)/Q28,"-")</f>
        <v/>
      </c>
      <c r="T131" s="14">
        <f>IFERROR((T28-S28)/S28,"-")</f>
        <v/>
      </c>
      <c r="U131" s="14">
        <f>IFERROR((U28-T28)/T28,"-")</f>
        <v/>
      </c>
      <c r="V131" s="14">
        <f>IFERROR((V28-U28)/U28,"-")</f>
        <v/>
      </c>
      <c r="W131" s="8" t="n"/>
      <c r="X131" s="22">
        <f>IFERROR((X28-V28)/V28,"-")</f>
        <v/>
      </c>
    </row>
    <row r="132">
      <c r="A132" s="9" t="inlineStr">
        <is>
          <t>PCTY</t>
        </is>
      </c>
      <c r="D132" s="7" t="n"/>
      <c r="E132" s="14">
        <f>IFERROR((E29-D29)/D29,"-")</f>
        <v/>
      </c>
      <c r="F132" s="14">
        <f>IFERROR((F29-E29)/E29,"-")</f>
        <v/>
      </c>
      <c r="G132" s="14">
        <f>IFERROR((G29-F29)/F29,"-")</f>
        <v/>
      </c>
      <c r="H132" s="8" t="n"/>
      <c r="I132" s="22">
        <f>IFERROR((I29-G29)/G29,"-")</f>
        <v/>
      </c>
      <c r="J132" s="14">
        <f>IFERROR((J29-I29)/I29,"-")</f>
        <v/>
      </c>
      <c r="K132" s="14">
        <f>IFERROR((K29-J29)/J29,"-")</f>
        <v/>
      </c>
      <c r="L132" s="14">
        <f>IFERROR((L29-K29)/K29,"-")</f>
        <v/>
      </c>
      <c r="M132" s="8" t="n"/>
      <c r="N132" s="22">
        <f>IFERROR((N29-L29)/L29,"-")</f>
        <v/>
      </c>
      <c r="O132" s="14">
        <f>IFERROR((O29-N29)/N29,"-")</f>
        <v/>
      </c>
      <c r="P132" s="14">
        <f>IFERROR((P29-O29)/O29,"-")</f>
        <v/>
      </c>
      <c r="Q132" s="14">
        <f>IFERROR((Q29-P29)/P29,"-")</f>
        <v/>
      </c>
      <c r="R132" s="8" t="n"/>
      <c r="S132" s="22">
        <f>IFERROR((S29-Q29)/Q29,"-")</f>
        <v/>
      </c>
      <c r="T132" s="14">
        <f>IFERROR((T29-S29)/S29,"-")</f>
        <v/>
      </c>
      <c r="U132" s="14">
        <f>IFERROR((U29-T29)/T29,"-")</f>
        <v/>
      </c>
      <c r="V132" s="14">
        <f>IFERROR((V29-U29)/U29,"-")</f>
        <v/>
      </c>
      <c r="W132" s="8" t="n"/>
      <c r="X132" s="22">
        <f>IFERROR((X29-V29)/V29,"-")</f>
        <v/>
      </c>
    </row>
    <row r="133">
      <c r="A133" s="9" t="inlineStr">
        <is>
          <t>ESTC</t>
        </is>
      </c>
      <c r="D133" s="7" t="n"/>
      <c r="E133" s="14">
        <f>IFERROR((E30-D30)/D30,"-")</f>
        <v/>
      </c>
      <c r="F133" s="14">
        <f>IFERROR((F30-E30)/E30,"-")</f>
        <v/>
      </c>
      <c r="G133" s="14">
        <f>IFERROR((G30-F30)/F30,"-")</f>
        <v/>
      </c>
      <c r="H133" s="8" t="n"/>
      <c r="I133" s="22">
        <f>IFERROR((I30-G30)/G30,"-")</f>
        <v/>
      </c>
      <c r="J133" s="14">
        <f>IFERROR((J30-I30)/I30,"-")</f>
        <v/>
      </c>
      <c r="K133" s="14">
        <f>IFERROR((K30-J30)/J30,"-")</f>
        <v/>
      </c>
      <c r="L133" s="14">
        <f>IFERROR((L30-K30)/K30,"-")</f>
        <v/>
      </c>
      <c r="M133" s="8" t="n"/>
      <c r="N133" s="22">
        <f>IFERROR((N30-L30)/L30,"-")</f>
        <v/>
      </c>
      <c r="O133" s="14">
        <f>IFERROR((O30-N30)/N30,"-")</f>
        <v/>
      </c>
      <c r="P133" s="14">
        <f>IFERROR((P30-O30)/O30,"-")</f>
        <v/>
      </c>
      <c r="Q133" s="14">
        <f>IFERROR((Q30-P30)/P30,"-")</f>
        <v/>
      </c>
      <c r="R133" s="8" t="n"/>
      <c r="S133" s="22">
        <f>IFERROR((S30-Q30)/Q30,"-")</f>
        <v/>
      </c>
      <c r="T133" s="14">
        <f>IFERROR((T30-S30)/S30,"-")</f>
        <v/>
      </c>
      <c r="U133" s="14">
        <f>IFERROR((U30-T30)/T30,"-")</f>
        <v/>
      </c>
      <c r="V133" s="14">
        <f>IFERROR((V30-U30)/U30,"-")</f>
        <v/>
      </c>
      <c r="W133" s="8" t="n"/>
      <c r="X133" s="22">
        <f>IFERROR((X30-V30)/V30,"-")</f>
        <v/>
      </c>
    </row>
    <row r="134">
      <c r="A134" s="9" t="inlineStr">
        <is>
          <t>BILL</t>
        </is>
      </c>
      <c r="D134" s="7" t="n"/>
      <c r="E134" s="14">
        <f>IFERROR((E31-D31)/D31,"-")</f>
        <v/>
      </c>
      <c r="F134" s="14">
        <f>IFERROR((F31-E31)/E31,"-")</f>
        <v/>
      </c>
      <c r="G134" s="14">
        <f>IFERROR((G31-F31)/F31,"-")</f>
        <v/>
      </c>
      <c r="H134" s="8" t="n"/>
      <c r="I134" s="22">
        <f>IFERROR((I31-G31)/G31,"-")</f>
        <v/>
      </c>
      <c r="J134" s="14">
        <f>IFERROR((J31-I31)/I31,"-")</f>
        <v/>
      </c>
      <c r="K134" s="14">
        <f>IFERROR((K31-J31)/J31,"-")</f>
        <v/>
      </c>
      <c r="L134" s="14">
        <f>IFERROR((L31-K31)/K31,"-")</f>
        <v/>
      </c>
      <c r="M134" s="8" t="n"/>
      <c r="N134" s="22">
        <f>IFERROR((N31-L31)/L31,"-")</f>
        <v/>
      </c>
      <c r="O134" s="14">
        <f>IFERROR((O31-N31)/N31,"-")</f>
        <v/>
      </c>
      <c r="P134" s="14">
        <f>IFERROR((P31-O31)/O31,"-")</f>
        <v/>
      </c>
      <c r="Q134" s="14">
        <f>IFERROR((Q31-P31)/P31,"-")</f>
        <v/>
      </c>
      <c r="R134" s="8" t="n"/>
      <c r="S134" s="22">
        <f>IFERROR((S31-Q31)/Q31,"-")</f>
        <v/>
      </c>
      <c r="T134" s="14">
        <f>IFERROR((T31-S31)/S31,"-")</f>
        <v/>
      </c>
      <c r="U134" s="14">
        <f>IFERROR((U31-T31)/T31,"-")</f>
        <v/>
      </c>
      <c r="V134" s="14">
        <f>IFERROR((V31-U31)/U31,"-")</f>
        <v/>
      </c>
      <c r="W134" s="8" t="n"/>
      <c r="X134" s="22">
        <f>IFERROR((X31-V31)/V31,"-")</f>
        <v/>
      </c>
    </row>
    <row r="135">
      <c r="A135" s="9" t="inlineStr">
        <is>
          <t>BSY</t>
        </is>
      </c>
      <c r="D135" s="7" t="n"/>
      <c r="E135" s="14">
        <f>IFERROR((E32-D32)/D32,"-")</f>
        <v/>
      </c>
      <c r="F135" s="14">
        <f>IFERROR((F32-E32)/E32,"-")</f>
        <v/>
      </c>
      <c r="G135" s="14">
        <f>IFERROR((G32-F32)/F32,"-")</f>
        <v/>
      </c>
      <c r="H135" s="8" t="n"/>
      <c r="I135" s="22">
        <f>IFERROR((I32-G32)/G32,"-")</f>
        <v/>
      </c>
      <c r="J135" s="14">
        <f>IFERROR((J32-I32)/I32,"-")</f>
        <v/>
      </c>
      <c r="K135" s="14">
        <f>IFERROR((K32-J32)/J32,"-")</f>
        <v/>
      </c>
      <c r="L135" s="14">
        <f>IFERROR((L32-K32)/K32,"-")</f>
        <v/>
      </c>
      <c r="M135" s="8" t="n"/>
      <c r="N135" s="22">
        <f>IFERROR((N32-L32)/L32,"-")</f>
        <v/>
      </c>
      <c r="O135" s="14">
        <f>IFERROR((O32-N32)/N32,"-")</f>
        <v/>
      </c>
      <c r="P135" s="14">
        <f>IFERROR((P32-O32)/O32,"-")</f>
        <v/>
      </c>
      <c r="Q135" s="14">
        <f>IFERROR((Q32-P32)/P32,"-")</f>
        <v/>
      </c>
      <c r="R135" s="8" t="n"/>
      <c r="S135" s="22">
        <f>IFERROR((S32-Q32)/Q32,"-")</f>
        <v/>
      </c>
      <c r="T135" s="14">
        <f>IFERROR((T32-S32)/S32,"-")</f>
        <v/>
      </c>
      <c r="U135" s="14">
        <f>IFERROR((U32-T32)/T32,"-")</f>
        <v/>
      </c>
      <c r="V135" s="14">
        <f>IFERROR((V32-U32)/U32,"-")</f>
        <v/>
      </c>
      <c r="W135" s="8" t="n"/>
      <c r="X135" s="22">
        <f>IFERROR((X32-V32)/V32,"-")</f>
        <v/>
      </c>
    </row>
    <row r="136">
      <c r="A136" s="9" t="inlineStr">
        <is>
          <t>GWRE</t>
        </is>
      </c>
      <c r="D136" s="7" t="n"/>
      <c r="E136" s="14">
        <f>IFERROR((E33-D33)/D33,"-")</f>
        <v/>
      </c>
      <c r="F136" s="14">
        <f>IFERROR((F33-E33)/E33,"-")</f>
        <v/>
      </c>
      <c r="G136" s="14">
        <f>IFERROR((G33-F33)/F33,"-")</f>
        <v/>
      </c>
      <c r="H136" s="8" t="n"/>
      <c r="I136" s="22">
        <f>IFERROR((I33-G33)/G33,"-")</f>
        <v/>
      </c>
      <c r="J136" s="14">
        <f>IFERROR((J33-I33)/I33,"-")</f>
        <v/>
      </c>
      <c r="K136" s="14">
        <f>IFERROR((K33-J33)/J33,"-")</f>
        <v/>
      </c>
      <c r="L136" s="14">
        <f>IFERROR((L33-K33)/K33,"-")</f>
        <v/>
      </c>
      <c r="M136" s="8" t="n"/>
      <c r="N136" s="22">
        <f>IFERROR((N33-L33)/L33,"-")</f>
        <v/>
      </c>
      <c r="O136" s="14">
        <f>IFERROR((O33-N33)/N33,"-")</f>
        <v/>
      </c>
      <c r="P136" s="14">
        <f>IFERROR((P33-O33)/O33,"-")</f>
        <v/>
      </c>
      <c r="Q136" s="14">
        <f>IFERROR((Q33-P33)/P33,"-")</f>
        <v/>
      </c>
      <c r="R136" s="8" t="n"/>
      <c r="S136" s="22">
        <f>IFERROR((S33-Q33)/Q33,"-")</f>
        <v/>
      </c>
      <c r="T136" s="14">
        <f>IFERROR((T33-S33)/S33,"-")</f>
        <v/>
      </c>
      <c r="U136" s="14">
        <f>IFERROR((U33-T33)/T33,"-")</f>
        <v/>
      </c>
      <c r="V136" s="14">
        <f>IFERROR((V33-U33)/U33,"-")</f>
        <v/>
      </c>
      <c r="W136" s="8" t="n"/>
      <c r="X136" s="22">
        <f>IFERROR((X33-V33)/V33,"-")</f>
        <v/>
      </c>
    </row>
    <row r="137">
      <c r="A137" s="9" t="inlineStr">
        <is>
          <t>PCOR</t>
        </is>
      </c>
      <c r="D137" s="7" t="n"/>
      <c r="E137" s="14">
        <f>IFERROR((E34-D34)/D34,"-")</f>
        <v/>
      </c>
      <c r="F137" s="14">
        <f>IFERROR((F34-E34)/E34,"-")</f>
        <v/>
      </c>
      <c r="G137" s="14">
        <f>IFERROR((G34-F34)/F34,"-")</f>
        <v/>
      </c>
      <c r="H137" s="8" t="n"/>
      <c r="I137" s="22">
        <f>IFERROR((I34-G34)/G34,"-")</f>
        <v/>
      </c>
      <c r="J137" s="14">
        <f>IFERROR((J34-I34)/I34,"-")</f>
        <v/>
      </c>
      <c r="K137" s="14">
        <f>IFERROR((K34-J34)/J34,"-")</f>
        <v/>
      </c>
      <c r="L137" s="14">
        <f>IFERROR((L34-K34)/K34,"-")</f>
        <v/>
      </c>
      <c r="M137" s="8" t="n"/>
      <c r="N137" s="22">
        <f>IFERROR((N34-L34)/L34,"-")</f>
        <v/>
      </c>
      <c r="O137" s="14">
        <f>IFERROR((O34-N34)/N34,"-")</f>
        <v/>
      </c>
      <c r="P137" s="14">
        <f>IFERROR((P34-O34)/O34,"-")</f>
        <v/>
      </c>
      <c r="Q137" s="14">
        <f>IFERROR((Q34-P34)/P34,"-")</f>
        <v/>
      </c>
      <c r="R137" s="8" t="n"/>
      <c r="S137" s="22">
        <f>IFERROR((S34-Q34)/Q34,"-")</f>
        <v/>
      </c>
      <c r="T137" s="14">
        <f>IFERROR((T34-S34)/S34,"-")</f>
        <v/>
      </c>
      <c r="U137" s="14">
        <f>IFERROR((U34-T34)/T34,"-")</f>
        <v/>
      </c>
      <c r="V137" s="14">
        <f>IFERROR((V34-U34)/U34,"-")</f>
        <v/>
      </c>
      <c r="W137" s="8" t="n"/>
      <c r="X137" s="22">
        <f>IFERROR((X34-V34)/V34,"-")</f>
        <v/>
      </c>
    </row>
    <row r="138">
      <c r="A138" s="9" t="inlineStr">
        <is>
          <t>ZI</t>
        </is>
      </c>
      <c r="D138" s="7" t="n"/>
      <c r="E138" s="14">
        <f>IFERROR((E35-D35)/D35,"-")</f>
        <v/>
      </c>
      <c r="F138" s="14">
        <f>IFERROR((F35-E35)/E35,"-")</f>
        <v/>
      </c>
      <c r="G138" s="14">
        <f>IFERROR((G35-F35)/F35,"-")</f>
        <v/>
      </c>
      <c r="H138" s="8" t="n"/>
      <c r="I138" s="22">
        <f>IFERROR((I35-G35)/G35,"-")</f>
        <v/>
      </c>
      <c r="J138" s="14">
        <f>IFERROR((J35-I35)/I35,"-")</f>
        <v/>
      </c>
      <c r="K138" s="14">
        <f>IFERROR((K35-J35)/J35,"-")</f>
        <v/>
      </c>
      <c r="L138" s="14">
        <f>IFERROR((L35-K35)/K35,"-")</f>
        <v/>
      </c>
      <c r="M138" s="8" t="n"/>
      <c r="N138" s="22">
        <f>IFERROR((N35-L35)/L35,"-")</f>
        <v/>
      </c>
      <c r="O138" s="14">
        <f>IFERROR((O35-N35)/N35,"-")</f>
        <v/>
      </c>
      <c r="P138" s="14">
        <f>IFERROR((P35-O35)/O35,"-")</f>
        <v/>
      </c>
      <c r="Q138" s="14">
        <f>IFERROR((Q35-P35)/P35,"-")</f>
        <v/>
      </c>
      <c r="R138" s="8" t="n"/>
      <c r="S138" s="22">
        <f>IFERROR((S35-Q35)/Q35,"-")</f>
        <v/>
      </c>
      <c r="T138" s="14">
        <f>IFERROR((T35-S35)/S35,"-")</f>
        <v/>
      </c>
      <c r="U138" s="14">
        <f>IFERROR((U35-T35)/T35,"-")</f>
        <v/>
      </c>
      <c r="V138" s="14">
        <f>IFERROR((V35-U35)/U35,"-")</f>
        <v/>
      </c>
      <c r="W138" s="8" t="n"/>
      <c r="X138" s="22">
        <f>IFERROR((X35-V35)/V35,"-")</f>
        <v/>
      </c>
    </row>
    <row r="139">
      <c r="A139" s="9" t="inlineStr">
        <is>
          <t>KVYO</t>
        </is>
      </c>
      <c r="D139" s="7" t="n"/>
      <c r="E139" s="14">
        <f>IFERROR((E36-D36)/D36,"-")</f>
        <v/>
      </c>
      <c r="F139" s="14">
        <f>IFERROR((F36-E36)/E36,"-")</f>
        <v/>
      </c>
      <c r="G139" s="14">
        <f>IFERROR((G36-F36)/F36,"-")</f>
        <v/>
      </c>
      <c r="H139" s="8" t="n"/>
      <c r="I139" s="22">
        <f>IFERROR((I36-G36)/G36,"-")</f>
        <v/>
      </c>
      <c r="J139" s="14">
        <f>IFERROR((J36-I36)/I36,"-")</f>
        <v/>
      </c>
      <c r="K139" s="14">
        <f>IFERROR((K36-J36)/J36,"-")</f>
        <v/>
      </c>
      <c r="L139" s="14">
        <f>IFERROR((L36-K36)/K36,"-")</f>
        <v/>
      </c>
      <c r="M139" s="8" t="n"/>
      <c r="N139" s="22">
        <f>IFERROR((N36-L36)/L36,"-")</f>
        <v/>
      </c>
      <c r="O139" s="14">
        <f>IFERROR((O36-N36)/N36,"-")</f>
        <v/>
      </c>
      <c r="P139" s="14">
        <f>IFERROR((P36-O36)/O36,"-")</f>
        <v/>
      </c>
      <c r="Q139" s="14">
        <f>IFERROR((Q36-P36)/P36,"-")</f>
        <v/>
      </c>
      <c r="R139" s="8" t="n"/>
      <c r="S139" s="22">
        <f>IFERROR((S36-Q36)/Q36,"-")</f>
        <v/>
      </c>
      <c r="T139" s="14">
        <f>IFERROR((T36-S36)/S36,"-")</f>
        <v/>
      </c>
      <c r="U139" s="14">
        <f>IFERROR((U36-T36)/T36,"-")</f>
        <v/>
      </c>
      <c r="V139" s="14">
        <f>IFERROR((V36-U36)/U36,"-")</f>
        <v/>
      </c>
      <c r="W139" s="8" t="n"/>
      <c r="X139" s="22">
        <f>IFERROR((X36-V36)/V36,"-")</f>
        <v/>
      </c>
    </row>
    <row r="140">
      <c r="A140" s="9" t="inlineStr">
        <is>
          <t>MNDY</t>
        </is>
      </c>
      <c r="D140" s="7" t="n"/>
      <c r="E140" s="14">
        <f>IFERROR((E37-D37)/D37,"-")</f>
        <v/>
      </c>
      <c r="F140" s="14">
        <f>IFERROR((F37-E37)/E37,"-")</f>
        <v/>
      </c>
      <c r="G140" s="14">
        <f>IFERROR((G37-F37)/F37,"-")</f>
        <v/>
      </c>
      <c r="H140" s="8" t="n"/>
      <c r="I140" s="22">
        <f>IFERROR((I37-G37)/G37,"-")</f>
        <v/>
      </c>
      <c r="J140" s="14">
        <f>IFERROR((J37-I37)/I37,"-")</f>
        <v/>
      </c>
      <c r="K140" s="14">
        <f>IFERROR((K37-J37)/J37,"-")</f>
        <v/>
      </c>
      <c r="L140" s="14">
        <f>IFERROR((L37-K37)/K37,"-")</f>
        <v/>
      </c>
      <c r="M140" s="8" t="n"/>
      <c r="N140" s="22">
        <f>IFERROR((N37-L37)/L37,"-")</f>
        <v/>
      </c>
      <c r="O140" s="14">
        <f>IFERROR((O37-N37)/N37,"-")</f>
        <v/>
      </c>
      <c r="P140" s="14">
        <f>IFERROR((P37-O37)/O37,"-")</f>
        <v/>
      </c>
      <c r="Q140" s="14">
        <f>IFERROR((Q37-P37)/P37,"-")</f>
        <v/>
      </c>
      <c r="R140" s="8" t="n"/>
      <c r="S140" s="22">
        <f>IFERROR((S37-Q37)/Q37,"-")</f>
        <v/>
      </c>
      <c r="T140" s="14">
        <f>IFERROR((T37-S37)/S37,"-")</f>
        <v/>
      </c>
      <c r="U140" s="14">
        <f>IFERROR((U37-T37)/T37,"-")</f>
        <v/>
      </c>
      <c r="V140" s="14">
        <f>IFERROR((V37-U37)/U37,"-")</f>
        <v/>
      </c>
      <c r="W140" s="8" t="n"/>
      <c r="X140" s="22">
        <f>IFERROR((X37-V37)/V37,"-")</f>
        <v/>
      </c>
    </row>
    <row r="141">
      <c r="A141" s="9" t="inlineStr">
        <is>
          <t>CFLT</t>
        </is>
      </c>
      <c r="D141" s="7" t="n"/>
      <c r="E141" s="14">
        <f>IFERROR((E38-D38)/D38,"-")</f>
        <v/>
      </c>
      <c r="F141" s="14">
        <f>IFERROR((F38-E38)/E38,"-")</f>
        <v/>
      </c>
      <c r="G141" s="14">
        <f>IFERROR((G38-F38)/F38,"-")</f>
        <v/>
      </c>
      <c r="H141" s="8" t="n"/>
      <c r="I141" s="22">
        <f>IFERROR((I38-G38)/G38,"-")</f>
        <v/>
      </c>
      <c r="J141" s="14">
        <f>IFERROR((J38-I38)/I38,"-")</f>
        <v/>
      </c>
      <c r="K141" s="14">
        <f>IFERROR((K38-J38)/J38,"-")</f>
        <v/>
      </c>
      <c r="L141" s="14">
        <f>IFERROR((L38-K38)/K38,"-")</f>
        <v/>
      </c>
      <c r="M141" s="8" t="n"/>
      <c r="N141" s="22">
        <f>IFERROR((N38-L38)/L38,"-")</f>
        <v/>
      </c>
      <c r="O141" s="14">
        <f>IFERROR((O38-N38)/N38,"-")</f>
        <v/>
      </c>
      <c r="P141" s="14">
        <f>IFERROR((P38-O38)/O38,"-")</f>
        <v/>
      </c>
      <c r="Q141" s="14">
        <f>IFERROR((Q38-P38)/P38,"-")</f>
        <v/>
      </c>
      <c r="R141" s="8" t="n"/>
      <c r="S141" s="22">
        <f>IFERROR((S38-Q38)/Q38,"-")</f>
        <v/>
      </c>
      <c r="T141" s="14">
        <f>IFERROR((T38-S38)/S38,"-")</f>
        <v/>
      </c>
      <c r="U141" s="14">
        <f>IFERROR((U38-T38)/T38,"-")</f>
        <v/>
      </c>
      <c r="V141" s="14">
        <f>IFERROR((V38-U38)/U38,"-")</f>
        <v/>
      </c>
      <c r="W141" s="8" t="n"/>
      <c r="X141" s="22">
        <f>IFERROR((X38-V38)/V38,"-")</f>
        <v/>
      </c>
    </row>
    <row r="142">
      <c r="A142" s="9" t="inlineStr">
        <is>
          <t>AZPN</t>
        </is>
      </c>
      <c r="D142" s="7" t="n"/>
      <c r="E142" s="14">
        <f>IFERROR((E39-D39)/D39,"-")</f>
        <v/>
      </c>
      <c r="F142" s="14">
        <f>IFERROR((F39-E39)/E39,"-")</f>
        <v/>
      </c>
      <c r="G142" s="14">
        <f>IFERROR((G39-F39)/F39,"-")</f>
        <v/>
      </c>
      <c r="H142" s="8" t="n"/>
      <c r="I142" s="22">
        <f>IFERROR((I39-G39)/G39,"-")</f>
        <v/>
      </c>
      <c r="J142" s="14">
        <f>IFERROR((J39-I39)/I39,"-")</f>
        <v/>
      </c>
      <c r="K142" s="14">
        <f>IFERROR((K39-J39)/J39,"-")</f>
        <v/>
      </c>
      <c r="L142" s="14">
        <f>IFERROR((L39-K39)/K39,"-")</f>
        <v/>
      </c>
      <c r="M142" s="8" t="n"/>
      <c r="N142" s="22">
        <f>IFERROR((N39-L39)/L39,"-")</f>
        <v/>
      </c>
      <c r="O142" s="14">
        <f>IFERROR((O39-N39)/N39,"-")</f>
        <v/>
      </c>
      <c r="P142" s="14">
        <f>IFERROR((P39-O39)/O39,"-")</f>
        <v/>
      </c>
      <c r="Q142" s="14">
        <f>IFERROR((Q39-P39)/P39,"-")</f>
        <v/>
      </c>
      <c r="R142" s="8" t="n"/>
      <c r="S142" s="22">
        <f>IFERROR((S39-Q39)/Q39,"-")</f>
        <v/>
      </c>
      <c r="T142" s="14">
        <f>IFERROR((T39-S39)/S39,"-")</f>
        <v/>
      </c>
      <c r="U142" s="14">
        <f>IFERROR((U39-T39)/T39,"-")</f>
        <v/>
      </c>
      <c r="V142" s="14">
        <f>IFERROR((V39-U39)/U39,"-")</f>
        <v/>
      </c>
      <c r="W142" s="8" t="n"/>
      <c r="X142" s="22">
        <f>IFERROR((X39-V39)/V39,"-")</f>
        <v/>
      </c>
    </row>
    <row r="143">
      <c r="A143" s="9" t="inlineStr">
        <is>
          <t>MANH</t>
        </is>
      </c>
      <c r="D143" s="7" t="n"/>
      <c r="E143" s="14">
        <f>IFERROR((E40-D40)/D40,"-")</f>
        <v/>
      </c>
      <c r="F143" s="14">
        <f>IFERROR((F40-E40)/E40,"-")</f>
        <v/>
      </c>
      <c r="G143" s="14">
        <f>IFERROR((G40-F40)/F40,"-")</f>
        <v/>
      </c>
      <c r="H143" s="8" t="n"/>
      <c r="I143" s="22">
        <f>IFERROR((I40-G40)/G40,"-")</f>
        <v/>
      </c>
      <c r="J143" s="14">
        <f>IFERROR((J40-I40)/I40,"-")</f>
        <v/>
      </c>
      <c r="K143" s="14">
        <f>IFERROR((K40-J40)/J40,"-")</f>
        <v/>
      </c>
      <c r="L143" s="14">
        <f>IFERROR((L40-K40)/K40,"-")</f>
        <v/>
      </c>
      <c r="M143" s="8" t="n"/>
      <c r="N143" s="22">
        <f>IFERROR((N40-L40)/L40,"-")</f>
        <v/>
      </c>
      <c r="O143" s="14">
        <f>IFERROR((O40-N40)/N40,"-")</f>
        <v/>
      </c>
      <c r="P143" s="14">
        <f>IFERROR((P40-O40)/O40,"-")</f>
        <v/>
      </c>
      <c r="Q143" s="14">
        <f>IFERROR((Q40-P40)/P40,"-")</f>
        <v/>
      </c>
      <c r="R143" s="8" t="n"/>
      <c r="S143" s="22">
        <f>IFERROR((S40-Q40)/Q40,"-")</f>
        <v/>
      </c>
      <c r="T143" s="14">
        <f>IFERROR((T40-S40)/S40,"-")</f>
        <v/>
      </c>
      <c r="U143" s="14">
        <f>IFERROR((U40-T40)/T40,"-")</f>
        <v/>
      </c>
      <c r="V143" s="14">
        <f>IFERROR((V40-U40)/U40,"-")</f>
        <v/>
      </c>
      <c r="W143" s="8" t="n"/>
      <c r="X143" s="22">
        <f>IFERROR((X40-V40)/V40,"-")</f>
        <v/>
      </c>
    </row>
    <row r="144">
      <c r="A144" s="9" t="inlineStr">
        <is>
          <t>S</t>
        </is>
      </c>
      <c r="D144" s="7" t="n"/>
      <c r="E144" s="14">
        <f>IFERROR((E41-D41)/D41,"-")</f>
        <v/>
      </c>
      <c r="F144" s="14">
        <f>IFERROR((F41-E41)/E41,"-")</f>
        <v/>
      </c>
      <c r="G144" s="14">
        <f>IFERROR((G41-F41)/F41,"-")</f>
        <v/>
      </c>
      <c r="H144" s="8" t="n"/>
      <c r="I144" s="22">
        <f>IFERROR((I41-G41)/G41,"-")</f>
        <v/>
      </c>
      <c r="J144" s="14">
        <f>IFERROR((J41-I41)/I41,"-")</f>
        <v/>
      </c>
      <c r="K144" s="14">
        <f>IFERROR((K41-J41)/J41,"-")</f>
        <v/>
      </c>
      <c r="L144" s="14">
        <f>IFERROR((L41-K41)/K41,"-")</f>
        <v/>
      </c>
      <c r="M144" s="8" t="n"/>
      <c r="N144" s="22">
        <f>IFERROR((N41-L41)/L41,"-")</f>
        <v/>
      </c>
      <c r="O144" s="14">
        <f>IFERROR((O41-N41)/N41,"-")</f>
        <v/>
      </c>
      <c r="P144" s="14">
        <f>IFERROR((P41-O41)/O41,"-")</f>
        <v/>
      </c>
      <c r="Q144" s="14">
        <f>IFERROR((Q41-P41)/P41,"-")</f>
        <v/>
      </c>
      <c r="R144" s="8" t="n"/>
      <c r="S144" s="22">
        <f>IFERROR((S41-Q41)/Q41,"-")</f>
        <v/>
      </c>
      <c r="T144" s="14">
        <f>IFERROR((T41-S41)/S41,"-")</f>
        <v/>
      </c>
      <c r="U144" s="14">
        <f>IFERROR((U41-T41)/T41,"-")</f>
        <v/>
      </c>
      <c r="V144" s="14">
        <f>IFERROR((V41-U41)/U41,"-")</f>
        <v/>
      </c>
      <c r="W144" s="8" t="n"/>
      <c r="X144" s="22">
        <f>IFERROR((X41-V41)/V41,"-")</f>
        <v/>
      </c>
    </row>
    <row r="145">
      <c r="A145" s="9" t="inlineStr">
        <is>
          <t>TENB</t>
        </is>
      </c>
      <c r="D145" s="7" t="n"/>
      <c r="E145" s="14">
        <f>IFERROR((E42-D42)/D42,"-")</f>
        <v/>
      </c>
      <c r="F145" s="14">
        <f>IFERROR((F42-E42)/E42,"-")</f>
        <v/>
      </c>
      <c r="G145" s="14">
        <f>IFERROR((G42-F42)/F42,"-")</f>
        <v/>
      </c>
      <c r="H145" s="8" t="n"/>
      <c r="I145" s="22">
        <f>IFERROR((I42-G42)/G42,"-")</f>
        <v/>
      </c>
      <c r="J145" s="14">
        <f>IFERROR((J42-I42)/I42,"-")</f>
        <v/>
      </c>
      <c r="K145" s="14">
        <f>IFERROR((K42-J42)/J42,"-")</f>
        <v/>
      </c>
      <c r="L145" s="14">
        <f>IFERROR((L42-K42)/K42,"-")</f>
        <v/>
      </c>
      <c r="M145" s="8" t="n"/>
      <c r="N145" s="22">
        <f>IFERROR((N42-L42)/L42,"-")</f>
        <v/>
      </c>
      <c r="O145" s="14">
        <f>IFERROR((O42-N42)/N42,"-")</f>
        <v/>
      </c>
      <c r="P145" s="14">
        <f>IFERROR((P42-O42)/O42,"-")</f>
        <v/>
      </c>
      <c r="Q145" s="14">
        <f>IFERROR((Q42-P42)/P42,"-")</f>
        <v/>
      </c>
      <c r="R145" s="8" t="n"/>
      <c r="S145" s="22">
        <f>IFERROR((S42-Q42)/Q42,"-")</f>
        <v/>
      </c>
      <c r="T145" s="14">
        <f>IFERROR((T42-S42)/S42,"-")</f>
        <v/>
      </c>
      <c r="U145" s="14">
        <f>IFERROR((U42-T42)/T42,"-")</f>
        <v/>
      </c>
      <c r="V145" s="14">
        <f>IFERROR((V42-U42)/U42,"-")</f>
        <v/>
      </c>
      <c r="W145" s="8" t="n"/>
      <c r="X145" s="22">
        <f>IFERROR((X42-V42)/V42,"-")</f>
        <v/>
      </c>
    </row>
    <row r="146">
      <c r="A146" s="9" t="inlineStr">
        <is>
          <t>GTLB</t>
        </is>
      </c>
      <c r="D146" s="7" t="n"/>
      <c r="E146" s="14">
        <f>IFERROR((E43-D43)/D43,"-")</f>
        <v/>
      </c>
      <c r="F146" s="14">
        <f>IFERROR((F43-E43)/E43,"-")</f>
        <v/>
      </c>
      <c r="G146" s="14">
        <f>IFERROR((G43-F43)/F43,"-")</f>
        <v/>
      </c>
      <c r="H146" s="8" t="n"/>
      <c r="I146" s="22">
        <f>IFERROR((I43-G43)/G43,"-")</f>
        <v/>
      </c>
      <c r="J146" s="14">
        <f>IFERROR((J43-I43)/I43,"-")</f>
        <v/>
      </c>
      <c r="K146" s="14">
        <f>IFERROR((K43-J43)/J43,"-")</f>
        <v/>
      </c>
      <c r="L146" s="14">
        <f>IFERROR((L43-K43)/K43,"-")</f>
        <v/>
      </c>
      <c r="M146" s="8" t="n"/>
      <c r="N146" s="22">
        <f>IFERROR((N43-L43)/L43,"-")</f>
        <v/>
      </c>
      <c r="O146" s="14">
        <f>IFERROR((O43-N43)/N43,"-")</f>
        <v/>
      </c>
      <c r="P146" s="14">
        <f>IFERROR((P43-O43)/O43,"-")</f>
        <v/>
      </c>
      <c r="Q146" s="14">
        <f>IFERROR((Q43-P43)/P43,"-")</f>
        <v/>
      </c>
      <c r="R146" s="8" t="n"/>
      <c r="S146" s="22">
        <f>IFERROR((S43-Q43)/Q43,"-")</f>
        <v/>
      </c>
      <c r="T146" s="14">
        <f>IFERROR((T43-S43)/S43,"-")</f>
        <v/>
      </c>
      <c r="U146" s="14">
        <f>IFERROR((U43-T43)/T43,"-")</f>
        <v/>
      </c>
      <c r="V146" s="14">
        <f>IFERROR((V43-U43)/U43,"-")</f>
        <v/>
      </c>
      <c r="W146" s="8" t="n"/>
      <c r="X146" s="22">
        <f>IFERROR((X43-V43)/V43,"-")</f>
        <v/>
      </c>
    </row>
    <row r="147">
      <c r="A147" s="9" t="inlineStr">
        <is>
          <t>DOCN</t>
        </is>
      </c>
      <c r="D147" s="7" t="n"/>
      <c r="E147" s="14">
        <f>IFERROR((E44-D44)/D44,"-")</f>
        <v/>
      </c>
      <c r="F147" s="14">
        <f>IFERROR((F44-E44)/E44,"-")</f>
        <v/>
      </c>
      <c r="G147" s="14">
        <f>IFERROR((G44-F44)/F44,"-")</f>
        <v/>
      </c>
      <c r="H147" s="8" t="n"/>
      <c r="I147" s="22">
        <f>IFERROR((I44-G44)/G44,"-")</f>
        <v/>
      </c>
      <c r="J147" s="14">
        <f>IFERROR((J44-I44)/I44,"-")</f>
        <v/>
      </c>
      <c r="K147" s="14">
        <f>IFERROR((K44-J44)/J44,"-")</f>
        <v/>
      </c>
      <c r="L147" s="14">
        <f>IFERROR((L44-K44)/K44,"-")</f>
        <v/>
      </c>
      <c r="M147" s="8" t="n"/>
      <c r="N147" s="22">
        <f>IFERROR((N44-L44)/L44,"-")</f>
        <v/>
      </c>
      <c r="O147" s="14">
        <f>IFERROR((O44-N44)/N44,"-")</f>
        <v/>
      </c>
      <c r="P147" s="14">
        <f>IFERROR((P44-O44)/O44,"-")</f>
        <v/>
      </c>
      <c r="Q147" s="14">
        <f>IFERROR((Q44-P44)/P44,"-")</f>
        <v/>
      </c>
      <c r="R147" s="8" t="n"/>
      <c r="S147" s="22">
        <f>IFERROR((S44-Q44)/Q44,"-")</f>
        <v/>
      </c>
      <c r="T147" s="14">
        <f>IFERROR((T44-S44)/S44,"-")</f>
        <v/>
      </c>
      <c r="U147" s="14">
        <f>IFERROR((U44-T44)/T44,"-")</f>
        <v/>
      </c>
      <c r="V147" s="14">
        <f>IFERROR((V44-U44)/U44,"-")</f>
        <v/>
      </c>
      <c r="W147" s="8" t="n"/>
      <c r="X147" s="22">
        <f>IFERROR((X44-V44)/V44,"-")</f>
        <v/>
      </c>
    </row>
    <row r="148">
      <c r="A148" s="9" t="inlineStr">
        <is>
          <t>SPSC</t>
        </is>
      </c>
      <c r="D148" s="7" t="n"/>
      <c r="E148" s="14">
        <f>IFERROR((E45-D45)/D45,"-")</f>
        <v/>
      </c>
      <c r="F148" s="14">
        <f>IFERROR((F45-E45)/E45,"-")</f>
        <v/>
      </c>
      <c r="G148" s="14">
        <f>IFERROR((G45-F45)/F45,"-")</f>
        <v/>
      </c>
      <c r="H148" s="8" t="n"/>
      <c r="I148" s="22">
        <f>IFERROR((I45-G45)/G45,"-")</f>
        <v/>
      </c>
      <c r="J148" s="14">
        <f>IFERROR((J45-I45)/I45,"-")</f>
        <v/>
      </c>
      <c r="K148" s="14">
        <f>IFERROR((K45-J45)/J45,"-")</f>
        <v/>
      </c>
      <c r="L148" s="14">
        <f>IFERROR((L45-K45)/K45,"-")</f>
        <v/>
      </c>
      <c r="M148" s="8" t="n"/>
      <c r="N148" s="22">
        <f>IFERROR((N45-L45)/L45,"-")</f>
        <v/>
      </c>
      <c r="O148" s="14">
        <f>IFERROR((O45-N45)/N45,"-")</f>
        <v/>
      </c>
      <c r="P148" s="14">
        <f>IFERROR((P45-O45)/O45,"-")</f>
        <v/>
      </c>
      <c r="Q148" s="14">
        <f>IFERROR((Q45-P45)/P45,"-")</f>
        <v/>
      </c>
      <c r="R148" s="8" t="n"/>
      <c r="S148" s="22">
        <f>IFERROR((S45-Q45)/Q45,"-")</f>
        <v/>
      </c>
      <c r="T148" s="14">
        <f>IFERROR((T45-S45)/S45,"-")</f>
        <v/>
      </c>
      <c r="U148" s="14">
        <f>IFERROR((U45-T45)/T45,"-")</f>
        <v/>
      </c>
      <c r="V148" s="14">
        <f>IFERROR((V45-U45)/U45,"-")</f>
        <v/>
      </c>
      <c r="W148" s="8" t="n"/>
      <c r="X148" s="22">
        <f>IFERROR((X45-V45)/V45,"-")</f>
        <v/>
      </c>
    </row>
    <row r="149">
      <c r="A149" s="9" t="inlineStr">
        <is>
          <t>BRZE</t>
        </is>
      </c>
      <c r="D149" s="7" t="n"/>
      <c r="E149" s="14">
        <f>IFERROR((E46-D46)/D46,"-")</f>
        <v/>
      </c>
      <c r="F149" s="14">
        <f>IFERROR((F46-E46)/E46,"-")</f>
        <v/>
      </c>
      <c r="G149" s="14">
        <f>IFERROR((G46-F46)/F46,"-")</f>
        <v/>
      </c>
      <c r="H149" s="8" t="n"/>
      <c r="I149" s="22">
        <f>IFERROR((I46-G46)/G46,"-")</f>
        <v/>
      </c>
      <c r="J149" s="14">
        <f>IFERROR((J46-I46)/I46,"-")</f>
        <v/>
      </c>
      <c r="K149" s="14">
        <f>IFERROR((K46-J46)/J46,"-")</f>
        <v/>
      </c>
      <c r="L149" s="14">
        <f>IFERROR((L46-K46)/K46,"-")</f>
        <v/>
      </c>
      <c r="M149" s="8" t="n"/>
      <c r="N149" s="22">
        <f>IFERROR((N46-L46)/L46,"-")</f>
        <v/>
      </c>
      <c r="O149" s="14">
        <f>IFERROR((O46-N46)/N46,"-")</f>
        <v/>
      </c>
      <c r="P149" s="14">
        <f>IFERROR((P46-O46)/O46,"-")</f>
        <v/>
      </c>
      <c r="Q149" s="14">
        <f>IFERROR((Q46-P46)/P46,"-")</f>
        <v/>
      </c>
      <c r="R149" s="8" t="n"/>
      <c r="S149" s="22">
        <f>IFERROR((S46-Q46)/Q46,"-")</f>
        <v/>
      </c>
      <c r="T149" s="14">
        <f>IFERROR((T46-S46)/S46,"-")</f>
        <v/>
      </c>
      <c r="U149" s="14">
        <f>IFERROR((U46-T46)/T46,"-")</f>
        <v/>
      </c>
      <c r="V149" s="14">
        <f>IFERROR((V46-U46)/U46,"-")</f>
        <v/>
      </c>
      <c r="W149" s="8" t="n"/>
      <c r="X149" s="22">
        <f>IFERROR((X46-V46)/V46,"-")</f>
        <v/>
      </c>
    </row>
    <row r="150">
      <c r="A150" s="9" t="inlineStr">
        <is>
          <t>CWAN</t>
        </is>
      </c>
      <c r="D150" s="7" t="n"/>
      <c r="E150" s="14">
        <f>IFERROR((E47-D47)/D47,"-")</f>
        <v/>
      </c>
      <c r="F150" s="14">
        <f>IFERROR((F47-E47)/E47,"-")</f>
        <v/>
      </c>
      <c r="G150" s="14">
        <f>IFERROR((G47-F47)/F47,"-")</f>
        <v/>
      </c>
      <c r="H150" s="8" t="n"/>
      <c r="I150" s="22">
        <f>IFERROR((I47-G47)/G47,"-")</f>
        <v/>
      </c>
      <c r="J150" s="14">
        <f>IFERROR((J47-I47)/I47,"-")</f>
        <v/>
      </c>
      <c r="K150" s="14">
        <f>IFERROR((K47-J47)/J47,"-")</f>
        <v/>
      </c>
      <c r="L150" s="14">
        <f>IFERROR((L47-K47)/K47,"-")</f>
        <v/>
      </c>
      <c r="M150" s="8" t="n"/>
      <c r="N150" s="22">
        <f>IFERROR((N47-L47)/L47,"-")</f>
        <v/>
      </c>
      <c r="O150" s="14">
        <f>IFERROR((O47-N47)/N47,"-")</f>
        <v/>
      </c>
      <c r="P150" s="14">
        <f>IFERROR((P47-O47)/O47,"-")</f>
        <v/>
      </c>
      <c r="Q150" s="14">
        <f>IFERROR((Q47-P47)/P47,"-")</f>
        <v/>
      </c>
      <c r="R150" s="8" t="n"/>
      <c r="S150" s="22">
        <f>IFERROR((S47-Q47)/Q47,"-")</f>
        <v/>
      </c>
      <c r="T150" s="14">
        <f>IFERROR((T47-S47)/S47,"-")</f>
        <v/>
      </c>
      <c r="U150" s="14">
        <f>IFERROR((U47-T47)/T47,"-")</f>
        <v/>
      </c>
      <c r="V150" s="14">
        <f>IFERROR((V47-U47)/U47,"-")</f>
        <v/>
      </c>
      <c r="W150" s="8" t="n"/>
      <c r="X150" s="22">
        <f>IFERROR((X47-V47)/V47,"-")</f>
        <v/>
      </c>
    </row>
    <row r="151">
      <c r="A151" s="9" t="inlineStr">
        <is>
          <t>APPN</t>
        </is>
      </c>
      <c r="D151" s="7" t="n"/>
      <c r="E151" s="14">
        <f>IFERROR((E48-D48)/D48,"-")</f>
        <v/>
      </c>
      <c r="F151" s="14">
        <f>IFERROR((F48-E48)/E48,"-")</f>
        <v/>
      </c>
      <c r="G151" s="14">
        <f>IFERROR((G48-F48)/F48,"-")</f>
        <v/>
      </c>
      <c r="H151" s="8" t="n"/>
      <c r="I151" s="22">
        <f>IFERROR((I48-G48)/G48,"-")</f>
        <v/>
      </c>
      <c r="J151" s="14">
        <f>IFERROR((J48-I48)/I48,"-")</f>
        <v/>
      </c>
      <c r="K151" s="14">
        <f>IFERROR((K48-J48)/J48,"-")</f>
        <v/>
      </c>
      <c r="L151" s="14">
        <f>IFERROR((L48-K48)/K48,"-")</f>
        <v/>
      </c>
      <c r="M151" s="8" t="n"/>
      <c r="N151" s="22">
        <f>IFERROR((N48-L48)/L48,"-")</f>
        <v/>
      </c>
      <c r="O151" s="14">
        <f>IFERROR((O48-N48)/N48,"-")</f>
        <v/>
      </c>
      <c r="P151" s="14">
        <f>IFERROR((P48-O48)/O48,"-")</f>
        <v/>
      </c>
      <c r="Q151" s="14">
        <f>IFERROR((Q48-P48)/P48,"-")</f>
        <v/>
      </c>
      <c r="R151" s="8" t="n"/>
      <c r="S151" s="22">
        <f>IFERROR((S48-Q48)/Q48,"-")</f>
        <v/>
      </c>
      <c r="T151" s="14">
        <f>IFERROR((T48-S48)/S48,"-")</f>
        <v/>
      </c>
      <c r="U151" s="14">
        <f>IFERROR((U48-T48)/T48,"-")</f>
        <v/>
      </c>
      <c r="V151" s="14">
        <f>IFERROR((V48-U48)/U48,"-")</f>
        <v/>
      </c>
      <c r="W151" s="8" t="n"/>
      <c r="X151" s="22">
        <f>IFERROR((X48-V48)/V48,"-")</f>
        <v/>
      </c>
    </row>
    <row r="152">
      <c r="A152" s="9" t="inlineStr">
        <is>
          <t>QLYS</t>
        </is>
      </c>
      <c r="D152" s="7" t="n"/>
      <c r="E152" s="14">
        <f>IFERROR((E49-D49)/D49,"-")</f>
        <v/>
      </c>
      <c r="F152" s="14">
        <f>IFERROR((F49-E49)/E49,"-")</f>
        <v/>
      </c>
      <c r="G152" s="14">
        <f>IFERROR((G49-F49)/F49,"-")</f>
        <v/>
      </c>
      <c r="H152" s="8" t="n"/>
      <c r="I152" s="22">
        <f>IFERROR((I49-G49)/G49,"-")</f>
        <v/>
      </c>
      <c r="J152" s="14">
        <f>IFERROR((J49-I49)/I49,"-")</f>
        <v/>
      </c>
      <c r="K152" s="14">
        <f>IFERROR((K49-J49)/J49,"-")</f>
        <v/>
      </c>
      <c r="L152" s="14">
        <f>IFERROR((L49-K49)/K49,"-")</f>
        <v/>
      </c>
      <c r="M152" s="8" t="n"/>
      <c r="N152" s="22">
        <f>IFERROR((N49-L49)/L49,"-")</f>
        <v/>
      </c>
      <c r="O152" s="14">
        <f>IFERROR((O49-N49)/N49,"-")</f>
        <v/>
      </c>
      <c r="P152" s="14">
        <f>IFERROR((P49-O49)/O49,"-")</f>
        <v/>
      </c>
      <c r="Q152" s="14">
        <f>IFERROR((Q49-P49)/P49,"-")</f>
        <v/>
      </c>
      <c r="R152" s="8" t="n"/>
      <c r="S152" s="22">
        <f>IFERROR((S49-Q49)/Q49,"-")</f>
        <v/>
      </c>
      <c r="T152" s="14">
        <f>IFERROR((T49-S49)/S49,"-")</f>
        <v/>
      </c>
      <c r="U152" s="14">
        <f>IFERROR((U49-T49)/T49,"-")</f>
        <v/>
      </c>
      <c r="V152" s="14">
        <f>IFERROR((V49-U49)/U49,"-")</f>
        <v/>
      </c>
      <c r="W152" s="8" t="n"/>
      <c r="X152" s="22">
        <f>IFERROR((X49-V49)/V49,"-")</f>
        <v/>
      </c>
    </row>
    <row r="153">
      <c r="A153" s="9" t="inlineStr">
        <is>
          <t>NCNO</t>
        </is>
      </c>
      <c r="D153" s="7" t="n"/>
      <c r="E153" s="14">
        <f>IFERROR((E50-D50)/D50,"-")</f>
        <v/>
      </c>
      <c r="F153" s="14">
        <f>IFERROR((F50-E50)/E50,"-")</f>
        <v/>
      </c>
      <c r="G153" s="14">
        <f>IFERROR((G50-F50)/F50,"-")</f>
        <v/>
      </c>
      <c r="H153" s="8" t="n"/>
      <c r="I153" s="22">
        <f>IFERROR((I50-G50)/G50,"-")</f>
        <v/>
      </c>
      <c r="J153" s="14">
        <f>IFERROR((J50-I50)/I50,"-")</f>
        <v/>
      </c>
      <c r="K153" s="14">
        <f>IFERROR((K50-J50)/J50,"-")</f>
        <v/>
      </c>
      <c r="L153" s="14">
        <f>IFERROR((L50-K50)/K50,"-")</f>
        <v/>
      </c>
      <c r="M153" s="8" t="n"/>
      <c r="N153" s="22">
        <f>IFERROR((N50-L50)/L50,"-")</f>
        <v/>
      </c>
      <c r="O153" s="14">
        <f>IFERROR((O50-N50)/N50,"-")</f>
        <v/>
      </c>
      <c r="P153" s="14">
        <f>IFERROR((P50-O50)/O50,"-")</f>
        <v/>
      </c>
      <c r="Q153" s="14">
        <f>IFERROR((Q50-P50)/P50,"-")</f>
        <v/>
      </c>
      <c r="R153" s="8" t="n"/>
      <c r="S153" s="22">
        <f>IFERROR((S50-Q50)/Q50,"-")</f>
        <v/>
      </c>
      <c r="T153" s="14">
        <f>IFERROR((T50-S50)/S50,"-")</f>
        <v/>
      </c>
      <c r="U153" s="14">
        <f>IFERROR((U50-T50)/T50,"-")</f>
        <v/>
      </c>
      <c r="V153" s="14">
        <f>IFERROR((V50-U50)/U50,"-")</f>
        <v/>
      </c>
      <c r="W153" s="8" t="n"/>
      <c r="X153" s="22">
        <f>IFERROR((X50-V50)/V50,"-")</f>
        <v/>
      </c>
    </row>
    <row r="154">
      <c r="A154" s="9" t="inlineStr">
        <is>
          <t>FROG</t>
        </is>
      </c>
      <c r="D154" s="7" t="n"/>
      <c r="E154" s="14">
        <f>IFERROR((E51-D51)/D51,"-")</f>
        <v/>
      </c>
      <c r="F154" s="14">
        <f>IFERROR((F51-E51)/E51,"-")</f>
        <v/>
      </c>
      <c r="G154" s="14">
        <f>IFERROR((G51-F51)/F51,"-")</f>
        <v/>
      </c>
      <c r="H154" s="8" t="n"/>
      <c r="I154" s="22">
        <f>IFERROR((I51-G51)/G51,"-")</f>
        <v/>
      </c>
      <c r="J154" s="14">
        <f>IFERROR((J51-I51)/I51,"-")</f>
        <v/>
      </c>
      <c r="K154" s="14">
        <f>IFERROR((K51-J51)/J51,"-")</f>
        <v/>
      </c>
      <c r="L154" s="14">
        <f>IFERROR((L51-K51)/K51,"-")</f>
        <v/>
      </c>
      <c r="M154" s="8" t="n"/>
      <c r="N154" s="22">
        <f>IFERROR((N51-L51)/L51,"-")</f>
        <v/>
      </c>
      <c r="O154" s="14">
        <f>IFERROR((O51-N51)/N51,"-")</f>
        <v/>
      </c>
      <c r="P154" s="14">
        <f>IFERROR((P51-O51)/O51,"-")</f>
        <v/>
      </c>
      <c r="Q154" s="14">
        <f>IFERROR((Q51-P51)/P51,"-")</f>
        <v/>
      </c>
      <c r="R154" s="8" t="n"/>
      <c r="S154" s="22">
        <f>IFERROR((S51-Q51)/Q51,"-")</f>
        <v/>
      </c>
      <c r="T154" s="14">
        <f>IFERROR((T51-S51)/S51,"-")</f>
        <v/>
      </c>
      <c r="U154" s="14">
        <f>IFERROR((U51-T51)/T51,"-")</f>
        <v/>
      </c>
      <c r="V154" s="14">
        <f>IFERROR((V51-U51)/U51,"-")</f>
        <v/>
      </c>
      <c r="W154" s="8" t="n"/>
      <c r="X154" s="22">
        <f>IFERROR((X51-V51)/V51,"-")</f>
        <v/>
      </c>
    </row>
    <row r="155">
      <c r="A155" s="17" t="inlineStr">
        <is>
          <t>Total Revenue</t>
        </is>
      </c>
      <c r="B155" s="18" t="n"/>
      <c r="C155" s="18" t="n"/>
      <c r="D155" s="24" t="n"/>
      <c r="E155" s="27">
        <f>IFERROR((E52-D52)/D52,"-")</f>
        <v/>
      </c>
      <c r="F155" s="27">
        <f>IFERROR((F52-E52)/E52,"-")</f>
        <v/>
      </c>
      <c r="G155" s="27">
        <f>IFERROR((G52-F52)/F52,"-")</f>
        <v/>
      </c>
      <c r="H155" s="25" t="n"/>
      <c r="I155" s="26">
        <f>IFERROR((I52-G52)/G52,"-")</f>
        <v/>
      </c>
      <c r="J155" s="27">
        <f>IFERROR((J52-I52)/I52,"-")</f>
        <v/>
      </c>
      <c r="K155" s="27">
        <f>IFERROR((K52-J52)/J52,"-")</f>
        <v/>
      </c>
      <c r="L155" s="27">
        <f>IFERROR((L52-K52)/K52,"-")</f>
        <v/>
      </c>
      <c r="M155" s="25" t="n"/>
      <c r="N155" s="26">
        <f>IFERROR((N52-L52)/L52,"-")</f>
        <v/>
      </c>
      <c r="O155" s="27">
        <f>IFERROR((O52-N52)/N52,"-")</f>
        <v/>
      </c>
      <c r="P155" s="27">
        <f>IFERROR((P52-O52)/O52,"-")</f>
        <v/>
      </c>
      <c r="Q155" s="27">
        <f>IFERROR((Q52-P52)/P52,"-")</f>
        <v/>
      </c>
      <c r="R155" s="25" t="n"/>
      <c r="S155" s="26">
        <f>IFERROR((S52-Q52)/Q52,"-")</f>
        <v/>
      </c>
      <c r="T155" s="27">
        <f>IFERROR((T52-S52)/S52,"-")</f>
        <v/>
      </c>
      <c r="U155" s="27">
        <f>IFERROR((U52-T52)/T52,"-")</f>
        <v/>
      </c>
      <c r="V155" s="27">
        <f>IFERROR((V52-U52)/U52,"-")</f>
        <v/>
      </c>
      <c r="W155" s="25" t="n"/>
      <c r="X155" s="26">
        <f>IFERROR((X52-V52)/V52,"-")</f>
        <v/>
      </c>
    </row>
    <row r="156">
      <c r="D156" s="7" t="n"/>
      <c r="H156" s="8" t="n"/>
      <c r="I156" s="7" t="n"/>
      <c r="M156" s="8" t="n"/>
      <c r="N156" s="7" t="n"/>
      <c r="R156" s="8" t="n"/>
      <c r="S156" s="7" t="n"/>
      <c r="W156" s="8" t="n"/>
      <c r="X156" s="7" t="n"/>
    </row>
    <row r="157">
      <c r="A157" s="3" t="inlineStr">
        <is>
          <t>$ YoY</t>
        </is>
      </c>
      <c r="D157" s="7" t="n"/>
      <c r="H157" s="8" t="n"/>
      <c r="I157" s="7" t="n"/>
      <c r="M157" s="8" t="n"/>
      <c r="N157" s="7" t="n"/>
      <c r="R157" s="8" t="n"/>
      <c r="S157" s="7" t="n"/>
      <c r="W157" s="8" t="n"/>
      <c r="X157" s="7" t="n"/>
    </row>
    <row r="158">
      <c r="A158" s="9" t="inlineStr">
        <is>
          <t>ADBE</t>
        </is>
      </c>
      <c r="D158" s="7" t="n"/>
      <c r="H158" s="8" t="n"/>
      <c r="I158" s="29">
        <f>I4-D4</f>
        <v/>
      </c>
      <c r="J158" s="30">
        <f>J4-E4</f>
        <v/>
      </c>
      <c r="K158" s="30">
        <f>K4-F4</f>
        <v/>
      </c>
      <c r="L158" s="30">
        <f>L4-G4</f>
        <v/>
      </c>
      <c r="M158" s="31">
        <f>M4-H4</f>
        <v/>
      </c>
      <c r="N158" s="29">
        <f>N4-I4</f>
        <v/>
      </c>
      <c r="O158" s="30">
        <f>O4-J4</f>
        <v/>
      </c>
      <c r="P158" s="30">
        <f>P4-K4</f>
        <v/>
      </c>
      <c r="Q158" s="30">
        <f>Q4-L4</f>
        <v/>
      </c>
      <c r="R158" s="31">
        <f>R4-M4</f>
        <v/>
      </c>
      <c r="S158" s="29">
        <f>S4-N4</f>
        <v/>
      </c>
      <c r="T158" s="30">
        <f>T4-O4</f>
        <v/>
      </c>
      <c r="U158" s="30">
        <f>U4-P4</f>
        <v/>
      </c>
      <c r="V158" s="30">
        <f>V4-Q4</f>
        <v/>
      </c>
      <c r="W158" s="31">
        <f>W4-R4</f>
        <v/>
      </c>
      <c r="X158" s="29">
        <f>X4-S4</f>
        <v/>
      </c>
    </row>
    <row r="159">
      <c r="A159" s="9" t="inlineStr">
        <is>
          <t>INTU</t>
        </is>
      </c>
      <c r="D159" s="7" t="n"/>
      <c r="H159" s="8" t="n"/>
      <c r="I159" s="29">
        <f>I5-D5</f>
        <v/>
      </c>
      <c r="J159" s="30">
        <f>J5-E5</f>
        <v/>
      </c>
      <c r="K159" s="30">
        <f>K5-F5</f>
        <v/>
      </c>
      <c r="L159" s="30">
        <f>L5-G5</f>
        <v/>
      </c>
      <c r="M159" s="31">
        <f>M5-H5</f>
        <v/>
      </c>
      <c r="N159" s="29">
        <f>N5-I5</f>
        <v/>
      </c>
      <c r="O159" s="30">
        <f>O5-J5</f>
        <v/>
      </c>
      <c r="P159" s="30">
        <f>P5-K5</f>
        <v/>
      </c>
      <c r="Q159" s="30">
        <f>Q5-L5</f>
        <v/>
      </c>
      <c r="R159" s="31">
        <f>R5-M5</f>
        <v/>
      </c>
      <c r="S159" s="29">
        <f>S5-N5</f>
        <v/>
      </c>
      <c r="T159" s="30">
        <f>T5-O5</f>
        <v/>
      </c>
      <c r="U159" s="30">
        <f>U5-P5</f>
        <v/>
      </c>
      <c r="V159" s="30">
        <f>V5-Q5</f>
        <v/>
      </c>
      <c r="W159" s="31">
        <f>W5-R5</f>
        <v/>
      </c>
      <c r="X159" s="29">
        <f>X5-S5</f>
        <v/>
      </c>
    </row>
    <row r="160">
      <c r="A160" s="9" t="inlineStr">
        <is>
          <t>NOW</t>
        </is>
      </c>
      <c r="D160" s="7" t="n"/>
      <c r="H160" s="8" t="n"/>
      <c r="I160" s="29">
        <f>I6-D6</f>
        <v/>
      </c>
      <c r="J160" s="30">
        <f>J6-E6</f>
        <v/>
      </c>
      <c r="K160" s="30">
        <f>K6-F6</f>
        <v/>
      </c>
      <c r="L160" s="30">
        <f>L6-G6</f>
        <v/>
      </c>
      <c r="M160" s="31">
        <f>M6-H6</f>
        <v/>
      </c>
      <c r="N160" s="29">
        <f>N6-I6</f>
        <v/>
      </c>
      <c r="O160" s="30">
        <f>O6-J6</f>
        <v/>
      </c>
      <c r="P160" s="30">
        <f>P6-K6</f>
        <v/>
      </c>
      <c r="Q160" s="30">
        <f>Q6-L6</f>
        <v/>
      </c>
      <c r="R160" s="31">
        <f>R6-M6</f>
        <v/>
      </c>
      <c r="S160" s="29">
        <f>S6-N6</f>
        <v/>
      </c>
      <c r="T160" s="30">
        <f>T6-O6</f>
        <v/>
      </c>
      <c r="U160" s="30">
        <f>U6-P6</f>
        <v/>
      </c>
      <c r="V160" s="30">
        <f>V6-Q6</f>
        <v/>
      </c>
      <c r="W160" s="31">
        <f>W6-R6</f>
        <v/>
      </c>
      <c r="X160" s="29">
        <f>X6-S6</f>
        <v/>
      </c>
    </row>
    <row r="161">
      <c r="A161" s="9" t="inlineStr">
        <is>
          <t>PANW</t>
        </is>
      </c>
      <c r="D161" s="7" t="n"/>
      <c r="H161" s="8" t="n"/>
      <c r="I161" s="29">
        <f>I7-D7</f>
        <v/>
      </c>
      <c r="J161" s="30">
        <f>J7-E7</f>
        <v/>
      </c>
      <c r="K161" s="30">
        <f>K7-F7</f>
        <v/>
      </c>
      <c r="L161" s="30">
        <f>L7-G7</f>
        <v/>
      </c>
      <c r="M161" s="31">
        <f>M7-H7</f>
        <v/>
      </c>
      <c r="N161" s="29">
        <f>N7-I7</f>
        <v/>
      </c>
      <c r="O161" s="30">
        <f>O7-J7</f>
        <v/>
      </c>
      <c r="P161" s="30">
        <f>P7-K7</f>
        <v/>
      </c>
      <c r="Q161" s="30">
        <f>Q7-L7</f>
        <v/>
      </c>
      <c r="R161" s="31">
        <f>R7-M7</f>
        <v/>
      </c>
      <c r="S161" s="29">
        <f>S7-N7</f>
        <v/>
      </c>
      <c r="T161" s="30">
        <f>T7-O7</f>
        <v/>
      </c>
      <c r="U161" s="30">
        <f>U7-P7</f>
        <v/>
      </c>
      <c r="V161" s="30">
        <f>V7-Q7</f>
        <v/>
      </c>
      <c r="W161" s="31">
        <f>W7-R7</f>
        <v/>
      </c>
      <c r="X161" s="29">
        <f>X7-S7</f>
        <v/>
      </c>
    </row>
    <row r="162">
      <c r="A162" s="9" t="inlineStr">
        <is>
          <t>WDAY</t>
        </is>
      </c>
      <c r="D162" s="7" t="n"/>
      <c r="H162" s="8" t="n"/>
      <c r="I162" s="29">
        <f>I8-D8</f>
        <v/>
      </c>
      <c r="J162" s="30">
        <f>J8-E8</f>
        <v/>
      </c>
      <c r="K162" s="30">
        <f>K8-F8</f>
        <v/>
      </c>
      <c r="L162" s="30">
        <f>L8-G8</f>
        <v/>
      </c>
      <c r="M162" s="31">
        <f>M8-H8</f>
        <v/>
      </c>
      <c r="N162" s="29">
        <f>N8-I8</f>
        <v/>
      </c>
      <c r="O162" s="30">
        <f>O8-J8</f>
        <v/>
      </c>
      <c r="P162" s="30">
        <f>P8-K8</f>
        <v/>
      </c>
      <c r="Q162" s="30">
        <f>Q8-L8</f>
        <v/>
      </c>
      <c r="R162" s="31">
        <f>R8-M8</f>
        <v/>
      </c>
      <c r="S162" s="29">
        <f>S8-N8</f>
        <v/>
      </c>
      <c r="T162" s="30">
        <f>T8-O8</f>
        <v/>
      </c>
      <c r="U162" s="30">
        <f>U8-P8</f>
        <v/>
      </c>
      <c r="V162" s="30">
        <f>V8-Q8</f>
        <v/>
      </c>
      <c r="W162" s="31">
        <f>W8-R8</f>
        <v/>
      </c>
      <c r="X162" s="29">
        <f>X8-S8</f>
        <v/>
      </c>
    </row>
    <row r="163">
      <c r="A163" s="9" t="inlineStr">
        <is>
          <t>SNPS</t>
        </is>
      </c>
      <c r="D163" s="7" t="n"/>
      <c r="H163" s="8" t="n"/>
      <c r="I163" s="29">
        <f>I9-D9</f>
        <v/>
      </c>
      <c r="J163" s="30">
        <f>J9-E9</f>
        <v/>
      </c>
      <c r="K163" s="30">
        <f>K9-F9</f>
        <v/>
      </c>
      <c r="L163" s="30">
        <f>L9-G9</f>
        <v/>
      </c>
      <c r="M163" s="31">
        <f>M9-H9</f>
        <v/>
      </c>
      <c r="N163" s="29">
        <f>N9-I9</f>
        <v/>
      </c>
      <c r="O163" s="30">
        <f>O9-J9</f>
        <v/>
      </c>
      <c r="P163" s="30">
        <f>P9-K9</f>
        <v/>
      </c>
      <c r="Q163" s="30">
        <f>Q9-L9</f>
        <v/>
      </c>
      <c r="R163" s="31">
        <f>R9-M9</f>
        <v/>
      </c>
      <c r="S163" s="29">
        <f>S9-N9</f>
        <v/>
      </c>
      <c r="T163" s="30">
        <f>T9-O9</f>
        <v/>
      </c>
      <c r="U163" s="30">
        <f>U9-P9</f>
        <v/>
      </c>
      <c r="V163" s="30">
        <f>V9-Q9</f>
        <v/>
      </c>
      <c r="W163" s="31">
        <f>W9-R9</f>
        <v/>
      </c>
      <c r="X163" s="29">
        <f>X9-S9</f>
        <v/>
      </c>
    </row>
    <row r="164">
      <c r="A164" s="9" t="inlineStr">
        <is>
          <t>ROP</t>
        </is>
      </c>
      <c r="D164" s="7" t="n"/>
      <c r="H164" s="8" t="n"/>
      <c r="I164" s="29">
        <f>I10-D10</f>
        <v/>
      </c>
      <c r="J164" s="30">
        <f>J10-E10</f>
        <v/>
      </c>
      <c r="K164" s="30">
        <f>K10-F10</f>
        <v/>
      </c>
      <c r="L164" s="30">
        <f>L10-G10</f>
        <v/>
      </c>
      <c r="M164" s="31">
        <f>M10-H10</f>
        <v/>
      </c>
      <c r="N164" s="29">
        <f>N10-I10</f>
        <v/>
      </c>
      <c r="O164" s="30">
        <f>O10-J10</f>
        <v/>
      </c>
      <c r="P164" s="30">
        <f>P10-K10</f>
        <v/>
      </c>
      <c r="Q164" s="30">
        <f>Q10-L10</f>
        <v/>
      </c>
      <c r="R164" s="31">
        <f>R10-M10</f>
        <v/>
      </c>
      <c r="S164" s="29">
        <f>S10-N10</f>
        <v/>
      </c>
      <c r="T164" s="30">
        <f>T10-O10</f>
        <v/>
      </c>
      <c r="U164" s="30">
        <f>U10-P10</f>
        <v/>
      </c>
      <c r="V164" s="30">
        <f>V10-Q10</f>
        <v/>
      </c>
      <c r="W164" s="31">
        <f>W10-R10</f>
        <v/>
      </c>
      <c r="X164" s="29">
        <f>X10-S10</f>
        <v/>
      </c>
    </row>
    <row r="165">
      <c r="A165" s="9" t="inlineStr">
        <is>
          <t>ADSK</t>
        </is>
      </c>
      <c r="D165" s="7" t="n"/>
      <c r="H165" s="8" t="n"/>
      <c r="I165" s="29">
        <f>I11-D11</f>
        <v/>
      </c>
      <c r="J165" s="30">
        <f>J11-E11</f>
        <v/>
      </c>
      <c r="K165" s="30">
        <f>K11-F11</f>
        <v/>
      </c>
      <c r="L165" s="30">
        <f>L11-G11</f>
        <v/>
      </c>
      <c r="M165" s="31">
        <f>M11-H11</f>
        <v/>
      </c>
      <c r="N165" s="29">
        <f>N11-I11</f>
        <v/>
      </c>
      <c r="O165" s="30">
        <f>O11-J11</f>
        <v/>
      </c>
      <c r="P165" s="30">
        <f>P11-K11</f>
        <v/>
      </c>
      <c r="Q165" s="30">
        <f>Q11-L11</f>
        <v/>
      </c>
      <c r="R165" s="31">
        <f>R11-M11</f>
        <v/>
      </c>
      <c r="S165" s="29">
        <f>S11-N11</f>
        <v/>
      </c>
      <c r="T165" s="30">
        <f>T11-O11</f>
        <v/>
      </c>
      <c r="U165" s="30">
        <f>U11-P11</f>
        <v/>
      </c>
      <c r="V165" s="30">
        <f>V11-Q11</f>
        <v/>
      </c>
      <c r="W165" s="31">
        <f>W11-R11</f>
        <v/>
      </c>
      <c r="X165" s="29">
        <f>X11-S11</f>
        <v/>
      </c>
    </row>
    <row r="166">
      <c r="A166" s="9" t="inlineStr">
        <is>
          <t>FTNT</t>
        </is>
      </c>
      <c r="D166" s="7" t="n"/>
      <c r="H166" s="8" t="n"/>
      <c r="I166" s="29">
        <f>I12-D12</f>
        <v/>
      </c>
      <c r="J166" s="30">
        <f>J12-E12</f>
        <v/>
      </c>
      <c r="K166" s="30">
        <f>K12-F12</f>
        <v/>
      </c>
      <c r="L166" s="30">
        <f>L12-G12</f>
        <v/>
      </c>
      <c r="M166" s="31">
        <f>M12-H12</f>
        <v/>
      </c>
      <c r="N166" s="29">
        <f>N12-I12</f>
        <v/>
      </c>
      <c r="O166" s="30">
        <f>O12-J12</f>
        <v/>
      </c>
      <c r="P166" s="30">
        <f>P12-K12</f>
        <v/>
      </c>
      <c r="Q166" s="30">
        <f>Q12-L12</f>
        <v/>
      </c>
      <c r="R166" s="31">
        <f>R12-M12</f>
        <v/>
      </c>
      <c r="S166" s="29">
        <f>S12-N12</f>
        <v/>
      </c>
      <c r="T166" s="30">
        <f>T12-O12</f>
        <v/>
      </c>
      <c r="U166" s="30">
        <f>U12-P12</f>
        <v/>
      </c>
      <c r="V166" s="30">
        <f>V12-Q12</f>
        <v/>
      </c>
      <c r="W166" s="31">
        <f>W12-R12</f>
        <v/>
      </c>
      <c r="X166" s="29">
        <f>X12-S12</f>
        <v/>
      </c>
    </row>
    <row r="167">
      <c r="A167" s="9" t="inlineStr">
        <is>
          <t>TOST</t>
        </is>
      </c>
      <c r="D167" s="7" t="n"/>
      <c r="H167" s="8" t="n"/>
      <c r="I167" s="29">
        <f>I13-D13</f>
        <v/>
      </c>
      <c r="J167" s="30">
        <f>J13-E13</f>
        <v/>
      </c>
      <c r="K167" s="30">
        <f>K13-F13</f>
        <v/>
      </c>
      <c r="L167" s="30">
        <f>L13-G13</f>
        <v/>
      </c>
      <c r="M167" s="31">
        <f>M13-H13</f>
        <v/>
      </c>
      <c r="N167" s="29">
        <f>N13-I13</f>
        <v/>
      </c>
      <c r="O167" s="30">
        <f>O13-J13</f>
        <v/>
      </c>
      <c r="P167" s="30">
        <f>P13-K13</f>
        <v/>
      </c>
      <c r="Q167" s="30">
        <f>Q13-L13</f>
        <v/>
      </c>
      <c r="R167" s="31">
        <f>R13-M13</f>
        <v/>
      </c>
      <c r="S167" s="29">
        <f>S13-N13</f>
        <v/>
      </c>
      <c r="T167" s="30">
        <f>T13-O13</f>
        <v/>
      </c>
      <c r="U167" s="30">
        <f>U13-P13</f>
        <v/>
      </c>
      <c r="V167" s="30">
        <f>V13-Q13</f>
        <v/>
      </c>
      <c r="W167" s="31">
        <f>W13-R13</f>
        <v/>
      </c>
      <c r="X167" s="29">
        <f>X13-S13</f>
        <v/>
      </c>
    </row>
    <row r="168">
      <c r="A168" s="9" t="inlineStr">
        <is>
          <t>TEAM</t>
        </is>
      </c>
      <c r="D168" s="7" t="n"/>
      <c r="H168" s="8" t="n"/>
      <c r="I168" s="29">
        <f>I14-D14</f>
        <v/>
      </c>
      <c r="J168" s="30">
        <f>J14-E14</f>
        <v/>
      </c>
      <c r="K168" s="30">
        <f>K14-F14</f>
        <v/>
      </c>
      <c r="L168" s="30">
        <f>L14-G14</f>
        <v/>
      </c>
      <c r="M168" s="31">
        <f>M14-H14</f>
        <v/>
      </c>
      <c r="N168" s="29">
        <f>N14-I14</f>
        <v/>
      </c>
      <c r="O168" s="30">
        <f>O14-J14</f>
        <v/>
      </c>
      <c r="P168" s="30">
        <f>P14-K14</f>
        <v/>
      </c>
      <c r="Q168" s="30">
        <f>Q14-L14</f>
        <v/>
      </c>
      <c r="R168" s="31">
        <f>R14-M14</f>
        <v/>
      </c>
      <c r="S168" s="29">
        <f>S14-N14</f>
        <v/>
      </c>
      <c r="T168" s="30">
        <f>T14-O14</f>
        <v/>
      </c>
      <c r="U168" s="30">
        <f>U14-P14</f>
        <v/>
      </c>
      <c r="V168" s="30">
        <f>V14-Q14</f>
        <v/>
      </c>
      <c r="W168" s="31">
        <f>W14-R14</f>
        <v/>
      </c>
      <c r="X168" s="29">
        <f>X14-S14</f>
        <v/>
      </c>
    </row>
    <row r="169">
      <c r="A169" s="9" t="inlineStr">
        <is>
          <t>APP</t>
        </is>
      </c>
      <c r="D169" s="7" t="n"/>
      <c r="H169" s="8" t="n"/>
      <c r="I169" s="29">
        <f>I15-D15</f>
        <v/>
      </c>
      <c r="J169" s="30">
        <f>J15-E15</f>
        <v/>
      </c>
      <c r="K169" s="30">
        <f>K15-F15</f>
        <v/>
      </c>
      <c r="L169" s="30">
        <f>L15-G15</f>
        <v/>
      </c>
      <c r="M169" s="31">
        <f>M15-H15</f>
        <v/>
      </c>
      <c r="N169" s="29">
        <f>N15-I15</f>
        <v/>
      </c>
      <c r="O169" s="30">
        <f>O15-J15</f>
        <v/>
      </c>
      <c r="P169" s="30">
        <f>P15-K15</f>
        <v/>
      </c>
      <c r="Q169" s="30">
        <f>Q15-L15</f>
        <v/>
      </c>
      <c r="R169" s="31">
        <f>R15-M15</f>
        <v/>
      </c>
      <c r="S169" s="29">
        <f>S15-N15</f>
        <v/>
      </c>
      <c r="T169" s="30">
        <f>T15-O15</f>
        <v/>
      </c>
      <c r="U169" s="30">
        <f>U15-P15</f>
        <v/>
      </c>
      <c r="V169" s="30">
        <f>V15-Q15</f>
        <v/>
      </c>
      <c r="W169" s="31">
        <f>W15-R15</f>
        <v/>
      </c>
      <c r="X169" s="29">
        <f>X15-S15</f>
        <v/>
      </c>
    </row>
    <row r="170">
      <c r="A170" s="9" t="inlineStr">
        <is>
          <t>CDNS</t>
        </is>
      </c>
      <c r="D170" s="7" t="n"/>
      <c r="H170" s="8" t="n"/>
      <c r="I170" s="29">
        <f>I16-D16</f>
        <v/>
      </c>
      <c r="J170" s="30">
        <f>J16-E16</f>
        <v/>
      </c>
      <c r="K170" s="30">
        <f>K16-F16</f>
        <v/>
      </c>
      <c r="L170" s="30">
        <f>L16-G16</f>
        <v/>
      </c>
      <c r="M170" s="31">
        <f>M16-H16</f>
        <v/>
      </c>
      <c r="N170" s="29">
        <f>N16-I16</f>
        <v/>
      </c>
      <c r="O170" s="30">
        <f>O16-J16</f>
        <v/>
      </c>
      <c r="P170" s="30">
        <f>P16-K16</f>
        <v/>
      </c>
      <c r="Q170" s="30">
        <f>Q16-L16</f>
        <v/>
      </c>
      <c r="R170" s="31">
        <f>R16-M16</f>
        <v/>
      </c>
      <c r="S170" s="29">
        <f>S16-N16</f>
        <v/>
      </c>
      <c r="T170" s="30">
        <f>T16-O16</f>
        <v/>
      </c>
      <c r="U170" s="30">
        <f>U16-P16</f>
        <v/>
      </c>
      <c r="V170" s="30">
        <f>V16-Q16</f>
        <v/>
      </c>
      <c r="W170" s="31">
        <f>W16-R16</f>
        <v/>
      </c>
      <c r="X170" s="29">
        <f>X16-S16</f>
        <v/>
      </c>
    </row>
    <row r="171">
      <c r="A171" s="9" t="inlineStr">
        <is>
          <t>CRWD</t>
        </is>
      </c>
      <c r="D171" s="7" t="n"/>
      <c r="H171" s="8" t="n"/>
      <c r="I171" s="29">
        <f>I17-D17</f>
        <v/>
      </c>
      <c r="J171" s="30">
        <f>J17-E17</f>
        <v/>
      </c>
      <c r="K171" s="30">
        <f>K17-F17</f>
        <v/>
      </c>
      <c r="L171" s="30">
        <f>L17-G17</f>
        <v/>
      </c>
      <c r="M171" s="31">
        <f>M17-H17</f>
        <v/>
      </c>
      <c r="N171" s="29">
        <f>N17-I17</f>
        <v/>
      </c>
      <c r="O171" s="30">
        <f>O17-J17</f>
        <v/>
      </c>
      <c r="P171" s="30">
        <f>P17-K17</f>
        <v/>
      </c>
      <c r="Q171" s="30">
        <f>Q17-L17</f>
        <v/>
      </c>
      <c r="R171" s="31">
        <f>R17-M17</f>
        <v/>
      </c>
      <c r="S171" s="29">
        <f>S17-N17</f>
        <v/>
      </c>
      <c r="T171" s="30">
        <f>T17-O17</f>
        <v/>
      </c>
      <c r="U171" s="30">
        <f>U17-P17</f>
        <v/>
      </c>
      <c r="V171" s="30">
        <f>V17-Q17</f>
        <v/>
      </c>
      <c r="W171" s="31">
        <f>W17-R17</f>
        <v/>
      </c>
      <c r="X171" s="29">
        <f>X17-S17</f>
        <v/>
      </c>
    </row>
    <row r="172">
      <c r="A172" s="9" t="inlineStr">
        <is>
          <t>SNOW</t>
        </is>
      </c>
      <c r="D172" s="7" t="n"/>
      <c r="H172" s="8" t="n"/>
      <c r="I172" s="29">
        <f>I18-D18</f>
        <v/>
      </c>
      <c r="J172" s="30">
        <f>J18-E18</f>
        <v/>
      </c>
      <c r="K172" s="30">
        <f>K18-F18</f>
        <v/>
      </c>
      <c r="L172" s="30">
        <f>L18-G18</f>
        <v/>
      </c>
      <c r="M172" s="31">
        <f>M18-H18</f>
        <v/>
      </c>
      <c r="N172" s="29">
        <f>N18-I18</f>
        <v/>
      </c>
      <c r="O172" s="30">
        <f>O18-J18</f>
        <v/>
      </c>
      <c r="P172" s="30">
        <f>P18-K18</f>
        <v/>
      </c>
      <c r="Q172" s="30">
        <f>Q18-L18</f>
        <v/>
      </c>
      <c r="R172" s="31">
        <f>R18-M18</f>
        <v/>
      </c>
      <c r="S172" s="29">
        <f>S18-N18</f>
        <v/>
      </c>
      <c r="T172" s="30">
        <f>T18-O18</f>
        <v/>
      </c>
      <c r="U172" s="30">
        <f>U18-P18</f>
        <v/>
      </c>
      <c r="V172" s="30">
        <f>V18-Q18</f>
        <v/>
      </c>
      <c r="W172" s="31">
        <f>W18-R18</f>
        <v/>
      </c>
      <c r="X172" s="29">
        <f>X18-S18</f>
        <v/>
      </c>
    </row>
    <row r="173">
      <c r="A173" s="9" t="inlineStr">
        <is>
          <t>PLTR</t>
        </is>
      </c>
      <c r="D173" s="7" t="n"/>
      <c r="H173" s="8" t="n"/>
      <c r="I173" s="29">
        <f>I19-D19</f>
        <v/>
      </c>
      <c r="J173" s="30">
        <f>J19-E19</f>
        <v/>
      </c>
      <c r="K173" s="30">
        <f>K19-F19</f>
        <v/>
      </c>
      <c r="L173" s="30">
        <f>L19-G19</f>
        <v/>
      </c>
      <c r="M173" s="31">
        <f>M19-H19</f>
        <v/>
      </c>
      <c r="N173" s="29">
        <f>N19-I19</f>
        <v/>
      </c>
      <c r="O173" s="30">
        <f>O19-J19</f>
        <v/>
      </c>
      <c r="P173" s="30">
        <f>P19-K19</f>
        <v/>
      </c>
      <c r="Q173" s="30">
        <f>Q19-L19</f>
        <v/>
      </c>
      <c r="R173" s="31">
        <f>R19-M19</f>
        <v/>
      </c>
      <c r="S173" s="29">
        <f>S19-N19</f>
        <v/>
      </c>
      <c r="T173" s="30">
        <f>T19-O19</f>
        <v/>
      </c>
      <c r="U173" s="30">
        <f>U19-P19</f>
        <v/>
      </c>
      <c r="V173" s="30">
        <f>V19-Q19</f>
        <v/>
      </c>
      <c r="W173" s="31">
        <f>W19-R19</f>
        <v/>
      </c>
      <c r="X173" s="29">
        <f>X19-S19</f>
        <v/>
      </c>
    </row>
    <row r="174">
      <c r="A174" s="9" t="inlineStr">
        <is>
          <t>DDOG</t>
        </is>
      </c>
      <c r="D174" s="7" t="n"/>
      <c r="H174" s="8" t="n"/>
      <c r="I174" s="29">
        <f>I20-D20</f>
        <v/>
      </c>
      <c r="J174" s="30">
        <f>J20-E20</f>
        <v/>
      </c>
      <c r="K174" s="30">
        <f>K20-F20</f>
        <v/>
      </c>
      <c r="L174" s="30">
        <f>L20-G20</f>
        <v/>
      </c>
      <c r="M174" s="31">
        <f>M20-H20</f>
        <v/>
      </c>
      <c r="N174" s="29">
        <f>N20-I20</f>
        <v/>
      </c>
      <c r="O174" s="30">
        <f>O20-J20</f>
        <v/>
      </c>
      <c r="P174" s="30">
        <f>P20-K20</f>
        <v/>
      </c>
      <c r="Q174" s="30">
        <f>Q20-L20</f>
        <v/>
      </c>
      <c r="R174" s="31">
        <f>R20-M20</f>
        <v/>
      </c>
      <c r="S174" s="29">
        <f>S20-N20</f>
        <v/>
      </c>
      <c r="T174" s="30">
        <f>T20-O20</f>
        <v/>
      </c>
      <c r="U174" s="30">
        <f>U20-P20</f>
        <v/>
      </c>
      <c r="V174" s="30">
        <f>V20-Q20</f>
        <v/>
      </c>
      <c r="W174" s="31">
        <f>W20-R20</f>
        <v/>
      </c>
      <c r="X174" s="29">
        <f>X20-S20</f>
        <v/>
      </c>
    </row>
    <row r="175">
      <c r="A175" s="9" t="inlineStr">
        <is>
          <t>VEEV</t>
        </is>
      </c>
      <c r="D175" s="7" t="n"/>
      <c r="H175" s="8" t="n"/>
      <c r="I175" s="29">
        <f>I21-D21</f>
        <v/>
      </c>
      <c r="J175" s="30">
        <f>J21-E21</f>
        <v/>
      </c>
      <c r="K175" s="30">
        <f>K21-F21</f>
        <v/>
      </c>
      <c r="L175" s="30">
        <f>L21-G21</f>
        <v/>
      </c>
      <c r="M175" s="31">
        <f>M21-H21</f>
        <v/>
      </c>
      <c r="N175" s="29">
        <f>N21-I21</f>
        <v/>
      </c>
      <c r="O175" s="30">
        <f>O21-J21</f>
        <v/>
      </c>
      <c r="P175" s="30">
        <f>P21-K21</f>
        <v/>
      </c>
      <c r="Q175" s="30">
        <f>Q21-L21</f>
        <v/>
      </c>
      <c r="R175" s="31">
        <f>R21-M21</f>
        <v/>
      </c>
      <c r="S175" s="29">
        <f>S21-N21</f>
        <v/>
      </c>
      <c r="T175" s="30">
        <f>T21-O21</f>
        <v/>
      </c>
      <c r="U175" s="30">
        <f>U21-P21</f>
        <v/>
      </c>
      <c r="V175" s="30">
        <f>V21-Q21</f>
        <v/>
      </c>
      <c r="W175" s="31">
        <f>W21-R21</f>
        <v/>
      </c>
      <c r="X175" s="29">
        <f>X21-S21</f>
        <v/>
      </c>
    </row>
    <row r="176">
      <c r="A176" s="9" t="inlineStr">
        <is>
          <t>HUBS</t>
        </is>
      </c>
      <c r="D176" s="7" t="n"/>
      <c r="H176" s="8" t="n"/>
      <c r="I176" s="29">
        <f>I22-D22</f>
        <v/>
      </c>
      <c r="J176" s="30">
        <f>J22-E22</f>
        <v/>
      </c>
      <c r="K176" s="30">
        <f>K22-F22</f>
        <v/>
      </c>
      <c r="L176" s="30">
        <f>L22-G22</f>
        <v/>
      </c>
      <c r="M176" s="31">
        <f>M22-H22</f>
        <v/>
      </c>
      <c r="N176" s="29">
        <f>N22-I22</f>
        <v/>
      </c>
      <c r="O176" s="30">
        <f>O22-J22</f>
        <v/>
      </c>
      <c r="P176" s="30">
        <f>P22-K22</f>
        <v/>
      </c>
      <c r="Q176" s="30">
        <f>Q22-L22</f>
        <v/>
      </c>
      <c r="R176" s="31">
        <f>R22-M22</f>
        <v/>
      </c>
      <c r="S176" s="29">
        <f>S22-N22</f>
        <v/>
      </c>
      <c r="T176" s="30">
        <f>T22-O22</f>
        <v/>
      </c>
      <c r="U176" s="30">
        <f>U22-P22</f>
        <v/>
      </c>
      <c r="V176" s="30">
        <f>V22-Q22</f>
        <v/>
      </c>
      <c r="W176" s="31">
        <f>W22-R22</f>
        <v/>
      </c>
      <c r="X176" s="29">
        <f>X22-S22</f>
        <v/>
      </c>
    </row>
    <row r="177">
      <c r="A177" s="9" t="inlineStr">
        <is>
          <t>ZS</t>
        </is>
      </c>
      <c r="D177" s="7" t="n"/>
      <c r="H177" s="8" t="n"/>
      <c r="I177" s="29">
        <f>I23-D23</f>
        <v/>
      </c>
      <c r="J177" s="30">
        <f>J23-E23</f>
        <v/>
      </c>
      <c r="K177" s="30">
        <f>K23-F23</f>
        <v/>
      </c>
      <c r="L177" s="30">
        <f>L23-G23</f>
        <v/>
      </c>
      <c r="M177" s="31">
        <f>M23-H23</f>
        <v/>
      </c>
      <c r="N177" s="29">
        <f>N23-I23</f>
        <v/>
      </c>
      <c r="O177" s="30">
        <f>O23-J23</f>
        <v/>
      </c>
      <c r="P177" s="30">
        <f>P23-K23</f>
        <v/>
      </c>
      <c r="Q177" s="30">
        <f>Q23-L23</f>
        <v/>
      </c>
      <c r="R177" s="31">
        <f>R23-M23</f>
        <v/>
      </c>
      <c r="S177" s="29">
        <f>S23-N23</f>
        <v/>
      </c>
      <c r="T177" s="30">
        <f>T23-O23</f>
        <v/>
      </c>
      <c r="U177" s="30">
        <f>U23-P23</f>
        <v/>
      </c>
      <c r="V177" s="30">
        <f>V23-Q23</f>
        <v/>
      </c>
      <c r="W177" s="31">
        <f>W23-R23</f>
        <v/>
      </c>
      <c r="X177" s="29">
        <f>X23-S23</f>
        <v/>
      </c>
    </row>
    <row r="178">
      <c r="A178" s="9" t="inlineStr">
        <is>
          <t>OKTA</t>
        </is>
      </c>
      <c r="D178" s="7" t="n"/>
      <c r="H178" s="8" t="n"/>
      <c r="I178" s="29">
        <f>I24-D24</f>
        <v/>
      </c>
      <c r="J178" s="30">
        <f>J24-E24</f>
        <v/>
      </c>
      <c r="K178" s="30">
        <f>K24-F24</f>
        <v/>
      </c>
      <c r="L178" s="30">
        <f>L24-G24</f>
        <v/>
      </c>
      <c r="M178" s="31">
        <f>M24-H24</f>
        <v/>
      </c>
      <c r="N178" s="29">
        <f>N24-I24</f>
        <v/>
      </c>
      <c r="O178" s="30">
        <f>O24-J24</f>
        <v/>
      </c>
      <c r="P178" s="30">
        <f>P24-K24</f>
        <v/>
      </c>
      <c r="Q178" s="30">
        <f>Q24-L24</f>
        <v/>
      </c>
      <c r="R178" s="31">
        <f>R24-M24</f>
        <v/>
      </c>
      <c r="S178" s="29">
        <f>S24-N24</f>
        <v/>
      </c>
      <c r="T178" s="30">
        <f>T24-O24</f>
        <v/>
      </c>
      <c r="U178" s="30">
        <f>U24-P24</f>
        <v/>
      </c>
      <c r="V178" s="30">
        <f>V24-Q24</f>
        <v/>
      </c>
      <c r="W178" s="31">
        <f>W24-R24</f>
        <v/>
      </c>
      <c r="X178" s="29">
        <f>X24-S24</f>
        <v/>
      </c>
    </row>
    <row r="179">
      <c r="A179" s="9" t="inlineStr">
        <is>
          <t>TTD</t>
        </is>
      </c>
      <c r="D179" s="7" t="n"/>
      <c r="H179" s="8" t="n"/>
      <c r="I179" s="29">
        <f>I25-D25</f>
        <v/>
      </c>
      <c r="J179" s="30">
        <f>J25-E25</f>
        <v/>
      </c>
      <c r="K179" s="30">
        <f>K25-F25</f>
        <v/>
      </c>
      <c r="L179" s="30">
        <f>L25-G25</f>
        <v/>
      </c>
      <c r="M179" s="31">
        <f>M25-H25</f>
        <v/>
      </c>
      <c r="N179" s="29">
        <f>N25-I25</f>
        <v/>
      </c>
      <c r="O179" s="30">
        <f>O25-J25</f>
        <v/>
      </c>
      <c r="P179" s="30">
        <f>P25-K25</f>
        <v/>
      </c>
      <c r="Q179" s="30">
        <f>Q25-L25</f>
        <v/>
      </c>
      <c r="R179" s="31">
        <f>R25-M25</f>
        <v/>
      </c>
      <c r="S179" s="29">
        <f>S25-N25</f>
        <v/>
      </c>
      <c r="T179" s="30">
        <f>T25-O25</f>
        <v/>
      </c>
      <c r="U179" s="30">
        <f>U25-P25</f>
        <v/>
      </c>
      <c r="V179" s="30">
        <f>V25-Q25</f>
        <v/>
      </c>
      <c r="W179" s="31">
        <f>W25-R25</f>
        <v/>
      </c>
      <c r="X179" s="29">
        <f>X25-S25</f>
        <v/>
      </c>
    </row>
    <row r="180">
      <c r="A180" s="9" t="inlineStr">
        <is>
          <t>MDB</t>
        </is>
      </c>
      <c r="D180" s="7" t="n"/>
      <c r="H180" s="8" t="n"/>
      <c r="I180" s="29">
        <f>I26-D26</f>
        <v/>
      </c>
      <c r="J180" s="30">
        <f>J26-E26</f>
        <v/>
      </c>
      <c r="K180" s="30">
        <f>K26-F26</f>
        <v/>
      </c>
      <c r="L180" s="30">
        <f>L26-G26</f>
        <v/>
      </c>
      <c r="M180" s="31">
        <f>M26-H26</f>
        <v/>
      </c>
      <c r="N180" s="29">
        <f>N26-I26</f>
        <v/>
      </c>
      <c r="O180" s="30">
        <f>O26-J26</f>
        <v/>
      </c>
      <c r="P180" s="30">
        <f>P26-K26</f>
        <v/>
      </c>
      <c r="Q180" s="30">
        <f>Q26-L26</f>
        <v/>
      </c>
      <c r="R180" s="31">
        <f>R26-M26</f>
        <v/>
      </c>
      <c r="S180" s="29">
        <f>S26-N26</f>
        <v/>
      </c>
      <c r="T180" s="30">
        <f>T26-O26</f>
        <v/>
      </c>
      <c r="U180" s="30">
        <f>U26-P26</f>
        <v/>
      </c>
      <c r="V180" s="30">
        <f>V26-Q26</f>
        <v/>
      </c>
      <c r="W180" s="31">
        <f>W26-R26</f>
        <v/>
      </c>
      <c r="X180" s="29">
        <f>X26-S26</f>
        <v/>
      </c>
    </row>
    <row r="181">
      <c r="A181" s="9" t="inlineStr">
        <is>
          <t>PAYC</t>
        </is>
      </c>
      <c r="D181" s="7" t="n"/>
      <c r="H181" s="8" t="n"/>
      <c r="I181" s="29">
        <f>I27-D27</f>
        <v/>
      </c>
      <c r="J181" s="30">
        <f>J27-E27</f>
        <v/>
      </c>
      <c r="K181" s="30">
        <f>K27-F27</f>
        <v/>
      </c>
      <c r="L181" s="30">
        <f>L27-G27</f>
        <v/>
      </c>
      <c r="M181" s="31">
        <f>M27-H27</f>
        <v/>
      </c>
      <c r="N181" s="29">
        <f>N27-I27</f>
        <v/>
      </c>
      <c r="O181" s="30">
        <f>O27-J27</f>
        <v/>
      </c>
      <c r="P181" s="30">
        <f>P27-K27</f>
        <v/>
      </c>
      <c r="Q181" s="30">
        <f>Q27-L27</f>
        <v/>
      </c>
      <c r="R181" s="31">
        <f>R27-M27</f>
        <v/>
      </c>
      <c r="S181" s="29">
        <f>S27-N27</f>
        <v/>
      </c>
      <c r="T181" s="30">
        <f>T27-O27</f>
        <v/>
      </c>
      <c r="U181" s="30">
        <f>U27-P27</f>
        <v/>
      </c>
      <c r="V181" s="30">
        <f>V27-Q27</f>
        <v/>
      </c>
      <c r="W181" s="31">
        <f>W27-R27</f>
        <v/>
      </c>
      <c r="X181" s="29">
        <f>X27-S27</f>
        <v/>
      </c>
    </row>
    <row r="182">
      <c r="A182" s="9" t="inlineStr">
        <is>
          <t>DT</t>
        </is>
      </c>
      <c r="D182" s="7" t="n"/>
      <c r="H182" s="8" t="n"/>
      <c r="I182" s="29">
        <f>I28-D28</f>
        <v/>
      </c>
      <c r="J182" s="30">
        <f>J28-E28</f>
        <v/>
      </c>
      <c r="K182" s="30">
        <f>K28-F28</f>
        <v/>
      </c>
      <c r="L182" s="30">
        <f>L28-G28</f>
        <v/>
      </c>
      <c r="M182" s="31">
        <f>M28-H28</f>
        <v/>
      </c>
      <c r="N182" s="29">
        <f>N28-I28</f>
        <v/>
      </c>
      <c r="O182" s="30">
        <f>O28-J28</f>
        <v/>
      </c>
      <c r="P182" s="30">
        <f>P28-K28</f>
        <v/>
      </c>
      <c r="Q182" s="30">
        <f>Q28-L28</f>
        <v/>
      </c>
      <c r="R182" s="31">
        <f>R28-M28</f>
        <v/>
      </c>
      <c r="S182" s="29">
        <f>S28-N28</f>
        <v/>
      </c>
      <c r="T182" s="30">
        <f>T28-O28</f>
        <v/>
      </c>
      <c r="U182" s="30">
        <f>U28-P28</f>
        <v/>
      </c>
      <c r="V182" s="30">
        <f>V28-Q28</f>
        <v/>
      </c>
      <c r="W182" s="31">
        <f>W28-R28</f>
        <v/>
      </c>
      <c r="X182" s="29">
        <f>X28-S28</f>
        <v/>
      </c>
    </row>
    <row r="183">
      <c r="A183" s="9" t="inlineStr">
        <is>
          <t>PCTY</t>
        </is>
      </c>
      <c r="D183" s="7" t="n"/>
      <c r="H183" s="8" t="n"/>
      <c r="I183" s="29">
        <f>I29-D29</f>
        <v/>
      </c>
      <c r="J183" s="30">
        <f>J29-E29</f>
        <v/>
      </c>
      <c r="K183" s="30">
        <f>K29-F29</f>
        <v/>
      </c>
      <c r="L183" s="30">
        <f>L29-G29</f>
        <v/>
      </c>
      <c r="M183" s="31">
        <f>M29-H29</f>
        <v/>
      </c>
      <c r="N183" s="29">
        <f>N29-I29</f>
        <v/>
      </c>
      <c r="O183" s="30">
        <f>O29-J29</f>
        <v/>
      </c>
      <c r="P183" s="30">
        <f>P29-K29</f>
        <v/>
      </c>
      <c r="Q183" s="30">
        <f>Q29-L29</f>
        <v/>
      </c>
      <c r="R183" s="31">
        <f>R29-M29</f>
        <v/>
      </c>
      <c r="S183" s="29">
        <f>S29-N29</f>
        <v/>
      </c>
      <c r="T183" s="30">
        <f>T29-O29</f>
        <v/>
      </c>
      <c r="U183" s="30">
        <f>U29-P29</f>
        <v/>
      </c>
      <c r="V183" s="30">
        <f>V29-Q29</f>
        <v/>
      </c>
      <c r="W183" s="31">
        <f>W29-R29</f>
        <v/>
      </c>
      <c r="X183" s="29">
        <f>X29-S29</f>
        <v/>
      </c>
    </row>
    <row r="184">
      <c r="A184" s="9" t="inlineStr">
        <is>
          <t>ESTC</t>
        </is>
      </c>
      <c r="D184" s="7" t="n"/>
      <c r="H184" s="8" t="n"/>
      <c r="I184" s="29">
        <f>I30-D30</f>
        <v/>
      </c>
      <c r="J184" s="30">
        <f>J30-E30</f>
        <v/>
      </c>
      <c r="K184" s="30">
        <f>K30-F30</f>
        <v/>
      </c>
      <c r="L184" s="30">
        <f>L30-G30</f>
        <v/>
      </c>
      <c r="M184" s="31">
        <f>M30-H30</f>
        <v/>
      </c>
      <c r="N184" s="29">
        <f>N30-I30</f>
        <v/>
      </c>
      <c r="O184" s="30">
        <f>O30-J30</f>
        <v/>
      </c>
      <c r="P184" s="30">
        <f>P30-K30</f>
        <v/>
      </c>
      <c r="Q184" s="30">
        <f>Q30-L30</f>
        <v/>
      </c>
      <c r="R184" s="31">
        <f>R30-M30</f>
        <v/>
      </c>
      <c r="S184" s="29">
        <f>S30-N30</f>
        <v/>
      </c>
      <c r="T184" s="30">
        <f>T30-O30</f>
        <v/>
      </c>
      <c r="U184" s="30">
        <f>U30-P30</f>
        <v/>
      </c>
      <c r="V184" s="30">
        <f>V30-Q30</f>
        <v/>
      </c>
      <c r="W184" s="31">
        <f>W30-R30</f>
        <v/>
      </c>
      <c r="X184" s="29">
        <f>X30-S30</f>
        <v/>
      </c>
    </row>
    <row r="185">
      <c r="A185" s="9" t="inlineStr">
        <is>
          <t>BILL</t>
        </is>
      </c>
      <c r="D185" s="7" t="n"/>
      <c r="H185" s="8" t="n"/>
      <c r="I185" s="29">
        <f>I31-D31</f>
        <v/>
      </c>
      <c r="J185" s="30">
        <f>J31-E31</f>
        <v/>
      </c>
      <c r="K185" s="30">
        <f>K31-F31</f>
        <v/>
      </c>
      <c r="L185" s="30">
        <f>L31-G31</f>
        <v/>
      </c>
      <c r="M185" s="31">
        <f>M31-H31</f>
        <v/>
      </c>
      <c r="N185" s="29">
        <f>N31-I31</f>
        <v/>
      </c>
      <c r="O185" s="30">
        <f>O31-J31</f>
        <v/>
      </c>
      <c r="P185" s="30">
        <f>P31-K31</f>
        <v/>
      </c>
      <c r="Q185" s="30">
        <f>Q31-L31</f>
        <v/>
      </c>
      <c r="R185" s="31">
        <f>R31-M31</f>
        <v/>
      </c>
      <c r="S185" s="29">
        <f>S31-N31</f>
        <v/>
      </c>
      <c r="T185" s="30">
        <f>T31-O31</f>
        <v/>
      </c>
      <c r="U185" s="30">
        <f>U31-P31</f>
        <v/>
      </c>
      <c r="V185" s="30">
        <f>V31-Q31</f>
        <v/>
      </c>
      <c r="W185" s="31">
        <f>W31-R31</f>
        <v/>
      </c>
      <c r="X185" s="29">
        <f>X31-S31</f>
        <v/>
      </c>
    </row>
    <row r="186">
      <c r="A186" s="9" t="inlineStr">
        <is>
          <t>BSY</t>
        </is>
      </c>
      <c r="D186" s="7" t="n"/>
      <c r="H186" s="8" t="n"/>
      <c r="I186" s="29">
        <f>I32-D32</f>
        <v/>
      </c>
      <c r="J186" s="30">
        <f>J32-E32</f>
        <v/>
      </c>
      <c r="K186" s="30">
        <f>K32-F32</f>
        <v/>
      </c>
      <c r="L186" s="30">
        <f>L32-G32</f>
        <v/>
      </c>
      <c r="M186" s="31">
        <f>M32-H32</f>
        <v/>
      </c>
      <c r="N186" s="29">
        <f>N32-I32</f>
        <v/>
      </c>
      <c r="O186" s="30">
        <f>O32-J32</f>
        <v/>
      </c>
      <c r="P186" s="30">
        <f>P32-K32</f>
        <v/>
      </c>
      <c r="Q186" s="30">
        <f>Q32-L32</f>
        <v/>
      </c>
      <c r="R186" s="31">
        <f>R32-M32</f>
        <v/>
      </c>
      <c r="S186" s="29">
        <f>S32-N32</f>
        <v/>
      </c>
      <c r="T186" s="30">
        <f>T32-O32</f>
        <v/>
      </c>
      <c r="U186" s="30">
        <f>U32-P32</f>
        <v/>
      </c>
      <c r="V186" s="30">
        <f>V32-Q32</f>
        <v/>
      </c>
      <c r="W186" s="31">
        <f>W32-R32</f>
        <v/>
      </c>
      <c r="X186" s="29">
        <f>X32-S32</f>
        <v/>
      </c>
    </row>
    <row r="187">
      <c r="A187" s="9" t="inlineStr">
        <is>
          <t>GWRE</t>
        </is>
      </c>
      <c r="D187" s="7" t="n"/>
      <c r="H187" s="8" t="n"/>
      <c r="I187" s="29">
        <f>I33-D33</f>
        <v/>
      </c>
      <c r="J187" s="30">
        <f>J33-E33</f>
        <v/>
      </c>
      <c r="K187" s="30">
        <f>K33-F33</f>
        <v/>
      </c>
      <c r="L187" s="30">
        <f>L33-G33</f>
        <v/>
      </c>
      <c r="M187" s="31">
        <f>M33-H33</f>
        <v/>
      </c>
      <c r="N187" s="29">
        <f>N33-I33</f>
        <v/>
      </c>
      <c r="O187" s="30">
        <f>O33-J33</f>
        <v/>
      </c>
      <c r="P187" s="30">
        <f>P33-K33</f>
        <v/>
      </c>
      <c r="Q187" s="30">
        <f>Q33-L33</f>
        <v/>
      </c>
      <c r="R187" s="31">
        <f>R33-M33</f>
        <v/>
      </c>
      <c r="S187" s="29">
        <f>S33-N33</f>
        <v/>
      </c>
      <c r="T187" s="30">
        <f>T33-O33</f>
        <v/>
      </c>
      <c r="U187" s="30">
        <f>U33-P33</f>
        <v/>
      </c>
      <c r="V187" s="30">
        <f>V33-Q33</f>
        <v/>
      </c>
      <c r="W187" s="31">
        <f>W33-R33</f>
        <v/>
      </c>
      <c r="X187" s="29">
        <f>X33-S33</f>
        <v/>
      </c>
    </row>
    <row r="188">
      <c r="A188" s="9" t="inlineStr">
        <is>
          <t>PCOR</t>
        </is>
      </c>
      <c r="D188" s="7" t="n"/>
      <c r="H188" s="8" t="n"/>
      <c r="I188" s="29">
        <f>I34-D34</f>
        <v/>
      </c>
      <c r="J188" s="30">
        <f>J34-E34</f>
        <v/>
      </c>
      <c r="K188" s="30">
        <f>K34-F34</f>
        <v/>
      </c>
      <c r="L188" s="30">
        <f>L34-G34</f>
        <v/>
      </c>
      <c r="M188" s="31">
        <f>M34-H34</f>
        <v/>
      </c>
      <c r="N188" s="29">
        <f>N34-I34</f>
        <v/>
      </c>
      <c r="O188" s="30">
        <f>O34-J34</f>
        <v/>
      </c>
      <c r="P188" s="30">
        <f>P34-K34</f>
        <v/>
      </c>
      <c r="Q188" s="30">
        <f>Q34-L34</f>
        <v/>
      </c>
      <c r="R188" s="31">
        <f>R34-M34</f>
        <v/>
      </c>
      <c r="S188" s="29">
        <f>S34-N34</f>
        <v/>
      </c>
      <c r="T188" s="30">
        <f>T34-O34</f>
        <v/>
      </c>
      <c r="U188" s="30">
        <f>U34-P34</f>
        <v/>
      </c>
      <c r="V188" s="30">
        <f>V34-Q34</f>
        <v/>
      </c>
      <c r="W188" s="31">
        <f>W34-R34</f>
        <v/>
      </c>
      <c r="X188" s="29">
        <f>X34-S34</f>
        <v/>
      </c>
    </row>
    <row r="189">
      <c r="A189" s="9" t="inlineStr">
        <is>
          <t>ZI</t>
        </is>
      </c>
      <c r="D189" s="7" t="n"/>
      <c r="H189" s="8" t="n"/>
      <c r="I189" s="29">
        <f>I35-D35</f>
        <v/>
      </c>
      <c r="J189" s="30">
        <f>J35-E35</f>
        <v/>
      </c>
      <c r="K189" s="30">
        <f>K35-F35</f>
        <v/>
      </c>
      <c r="L189" s="30">
        <f>L35-G35</f>
        <v/>
      </c>
      <c r="M189" s="31">
        <f>M35-H35</f>
        <v/>
      </c>
      <c r="N189" s="29">
        <f>N35-I35</f>
        <v/>
      </c>
      <c r="O189" s="30">
        <f>O35-J35</f>
        <v/>
      </c>
      <c r="P189" s="30">
        <f>P35-K35</f>
        <v/>
      </c>
      <c r="Q189" s="30">
        <f>Q35-L35</f>
        <v/>
      </c>
      <c r="R189" s="31">
        <f>R35-M35</f>
        <v/>
      </c>
      <c r="S189" s="29">
        <f>S35-N35</f>
        <v/>
      </c>
      <c r="T189" s="30">
        <f>T35-O35</f>
        <v/>
      </c>
      <c r="U189" s="30">
        <f>U35-P35</f>
        <v/>
      </c>
      <c r="V189" s="30">
        <f>V35-Q35</f>
        <v/>
      </c>
      <c r="W189" s="31">
        <f>W35-R35</f>
        <v/>
      </c>
      <c r="X189" s="29">
        <f>X35-S35</f>
        <v/>
      </c>
    </row>
    <row r="190">
      <c r="A190" s="9" t="inlineStr">
        <is>
          <t>KVYO</t>
        </is>
      </c>
      <c r="D190" s="7" t="n"/>
      <c r="H190" s="8" t="n"/>
      <c r="I190" s="29">
        <f>I36-D36</f>
        <v/>
      </c>
      <c r="J190" s="30">
        <f>J36-E36</f>
        <v/>
      </c>
      <c r="K190" s="30">
        <f>K36-F36</f>
        <v/>
      </c>
      <c r="L190" s="30">
        <f>L36-G36</f>
        <v/>
      </c>
      <c r="M190" s="31">
        <f>M36-H36</f>
        <v/>
      </c>
      <c r="N190" s="29">
        <f>N36-I36</f>
        <v/>
      </c>
      <c r="O190" s="30">
        <f>O36-J36</f>
        <v/>
      </c>
      <c r="P190" s="30">
        <f>P36-K36</f>
        <v/>
      </c>
      <c r="Q190" s="30">
        <f>Q36-L36</f>
        <v/>
      </c>
      <c r="R190" s="31">
        <f>R36-M36</f>
        <v/>
      </c>
      <c r="S190" s="29">
        <f>S36-N36</f>
        <v/>
      </c>
      <c r="T190" s="30">
        <f>T36-O36</f>
        <v/>
      </c>
      <c r="U190" s="30">
        <f>U36-P36</f>
        <v/>
      </c>
      <c r="V190" s="30">
        <f>V36-Q36</f>
        <v/>
      </c>
      <c r="W190" s="31">
        <f>W36-R36</f>
        <v/>
      </c>
      <c r="X190" s="29">
        <f>X36-S36</f>
        <v/>
      </c>
    </row>
    <row r="191">
      <c r="A191" s="9" t="inlineStr">
        <is>
          <t>MNDY</t>
        </is>
      </c>
      <c r="D191" s="7" t="n"/>
      <c r="H191" s="8" t="n"/>
      <c r="I191" s="29">
        <f>I37-D37</f>
        <v/>
      </c>
      <c r="J191" s="30">
        <f>J37-E37</f>
        <v/>
      </c>
      <c r="K191" s="30">
        <f>K37-F37</f>
        <v/>
      </c>
      <c r="L191" s="30">
        <f>L37-G37</f>
        <v/>
      </c>
      <c r="M191" s="31">
        <f>M37-H37</f>
        <v/>
      </c>
      <c r="N191" s="29">
        <f>N37-I37</f>
        <v/>
      </c>
      <c r="O191" s="30">
        <f>O37-J37</f>
        <v/>
      </c>
      <c r="P191" s="30">
        <f>P37-K37</f>
        <v/>
      </c>
      <c r="Q191" s="30">
        <f>Q37-L37</f>
        <v/>
      </c>
      <c r="R191" s="31">
        <f>R37-M37</f>
        <v/>
      </c>
      <c r="S191" s="29">
        <f>S37-N37</f>
        <v/>
      </c>
      <c r="T191" s="30">
        <f>T37-O37</f>
        <v/>
      </c>
      <c r="U191" s="30">
        <f>U37-P37</f>
        <v/>
      </c>
      <c r="V191" s="30">
        <f>V37-Q37</f>
        <v/>
      </c>
      <c r="W191" s="31">
        <f>W37-R37</f>
        <v/>
      </c>
      <c r="X191" s="29">
        <f>X37-S37</f>
        <v/>
      </c>
    </row>
    <row r="192">
      <c r="A192" s="9" t="inlineStr">
        <is>
          <t>CFLT</t>
        </is>
      </c>
      <c r="D192" s="7" t="n"/>
      <c r="H192" s="8" t="n"/>
      <c r="I192" s="29">
        <f>I38-D38</f>
        <v/>
      </c>
      <c r="J192" s="30">
        <f>J38-E38</f>
        <v/>
      </c>
      <c r="K192" s="30">
        <f>K38-F38</f>
        <v/>
      </c>
      <c r="L192" s="30">
        <f>L38-G38</f>
        <v/>
      </c>
      <c r="M192" s="31">
        <f>M38-H38</f>
        <v/>
      </c>
      <c r="N192" s="29">
        <f>N38-I38</f>
        <v/>
      </c>
      <c r="O192" s="30">
        <f>O38-J38</f>
        <v/>
      </c>
      <c r="P192" s="30">
        <f>P38-K38</f>
        <v/>
      </c>
      <c r="Q192" s="30">
        <f>Q38-L38</f>
        <v/>
      </c>
      <c r="R192" s="31">
        <f>R38-M38</f>
        <v/>
      </c>
      <c r="S192" s="29">
        <f>S38-N38</f>
        <v/>
      </c>
      <c r="T192" s="30">
        <f>T38-O38</f>
        <v/>
      </c>
      <c r="U192" s="30">
        <f>U38-P38</f>
        <v/>
      </c>
      <c r="V192" s="30">
        <f>V38-Q38</f>
        <v/>
      </c>
      <c r="W192" s="31">
        <f>W38-R38</f>
        <v/>
      </c>
      <c r="X192" s="29">
        <f>X38-S38</f>
        <v/>
      </c>
    </row>
    <row r="193">
      <c r="A193" s="9" t="inlineStr">
        <is>
          <t>AZPN</t>
        </is>
      </c>
      <c r="D193" s="7" t="n"/>
      <c r="H193" s="8" t="n"/>
      <c r="I193" s="29">
        <f>I39-D39</f>
        <v/>
      </c>
      <c r="J193" s="30">
        <f>J39-E39</f>
        <v/>
      </c>
      <c r="K193" s="30">
        <f>K39-F39</f>
        <v/>
      </c>
      <c r="L193" s="30">
        <f>L39-G39</f>
        <v/>
      </c>
      <c r="M193" s="31">
        <f>M39-H39</f>
        <v/>
      </c>
      <c r="N193" s="29">
        <f>N39-I39</f>
        <v/>
      </c>
      <c r="O193" s="30">
        <f>O39-J39</f>
        <v/>
      </c>
      <c r="P193" s="30">
        <f>P39-K39</f>
        <v/>
      </c>
      <c r="Q193" s="30">
        <f>Q39-L39</f>
        <v/>
      </c>
      <c r="R193" s="31">
        <f>R39-M39</f>
        <v/>
      </c>
      <c r="S193" s="29">
        <f>S39-N39</f>
        <v/>
      </c>
      <c r="T193" s="30">
        <f>T39-O39</f>
        <v/>
      </c>
      <c r="U193" s="30">
        <f>U39-P39</f>
        <v/>
      </c>
      <c r="V193" s="30">
        <f>V39-Q39</f>
        <v/>
      </c>
      <c r="W193" s="31">
        <f>W39-R39</f>
        <v/>
      </c>
      <c r="X193" s="29">
        <f>X39-S39</f>
        <v/>
      </c>
    </row>
    <row r="194">
      <c r="A194" s="9" t="inlineStr">
        <is>
          <t>MANH</t>
        </is>
      </c>
      <c r="D194" s="7" t="n"/>
      <c r="H194" s="8" t="n"/>
      <c r="I194" s="29">
        <f>I40-D40</f>
        <v/>
      </c>
      <c r="J194" s="30">
        <f>J40-E40</f>
        <v/>
      </c>
      <c r="K194" s="30">
        <f>K40-F40</f>
        <v/>
      </c>
      <c r="L194" s="30">
        <f>L40-G40</f>
        <v/>
      </c>
      <c r="M194" s="31">
        <f>M40-H40</f>
        <v/>
      </c>
      <c r="N194" s="29">
        <f>N40-I40</f>
        <v/>
      </c>
      <c r="O194" s="30">
        <f>O40-J40</f>
        <v/>
      </c>
      <c r="P194" s="30">
        <f>P40-K40</f>
        <v/>
      </c>
      <c r="Q194" s="30">
        <f>Q40-L40</f>
        <v/>
      </c>
      <c r="R194" s="31">
        <f>R40-M40</f>
        <v/>
      </c>
      <c r="S194" s="29">
        <f>S40-N40</f>
        <v/>
      </c>
      <c r="T194" s="30">
        <f>T40-O40</f>
        <v/>
      </c>
      <c r="U194" s="30">
        <f>U40-P40</f>
        <v/>
      </c>
      <c r="V194" s="30">
        <f>V40-Q40</f>
        <v/>
      </c>
      <c r="W194" s="31">
        <f>W40-R40</f>
        <v/>
      </c>
      <c r="X194" s="29">
        <f>X40-S40</f>
        <v/>
      </c>
    </row>
    <row r="195">
      <c r="A195" s="9" t="inlineStr">
        <is>
          <t>S</t>
        </is>
      </c>
      <c r="D195" s="7" t="n"/>
      <c r="H195" s="8" t="n"/>
      <c r="I195" s="29">
        <f>I41-D41</f>
        <v/>
      </c>
      <c r="J195" s="30">
        <f>J41-E41</f>
        <v/>
      </c>
      <c r="K195" s="30">
        <f>K41-F41</f>
        <v/>
      </c>
      <c r="L195" s="30">
        <f>L41-G41</f>
        <v/>
      </c>
      <c r="M195" s="31">
        <f>M41-H41</f>
        <v/>
      </c>
      <c r="N195" s="29">
        <f>N41-I41</f>
        <v/>
      </c>
      <c r="O195" s="30">
        <f>O41-J41</f>
        <v/>
      </c>
      <c r="P195" s="30">
        <f>P41-K41</f>
        <v/>
      </c>
      <c r="Q195" s="30">
        <f>Q41-L41</f>
        <v/>
      </c>
      <c r="R195" s="31">
        <f>R41-M41</f>
        <v/>
      </c>
      <c r="S195" s="29">
        <f>S41-N41</f>
        <v/>
      </c>
      <c r="T195" s="30">
        <f>T41-O41</f>
        <v/>
      </c>
      <c r="U195" s="30">
        <f>U41-P41</f>
        <v/>
      </c>
      <c r="V195" s="30">
        <f>V41-Q41</f>
        <v/>
      </c>
      <c r="W195" s="31">
        <f>W41-R41</f>
        <v/>
      </c>
      <c r="X195" s="29">
        <f>X41-S41</f>
        <v/>
      </c>
    </row>
    <row r="196">
      <c r="A196" s="9" t="inlineStr">
        <is>
          <t>TENB</t>
        </is>
      </c>
      <c r="D196" s="7" t="n"/>
      <c r="H196" s="8" t="n"/>
      <c r="I196" s="29">
        <f>I42-D42</f>
        <v/>
      </c>
      <c r="J196" s="30">
        <f>J42-E42</f>
        <v/>
      </c>
      <c r="K196" s="30">
        <f>K42-F42</f>
        <v/>
      </c>
      <c r="L196" s="30">
        <f>L42-G42</f>
        <v/>
      </c>
      <c r="M196" s="31">
        <f>M42-H42</f>
        <v/>
      </c>
      <c r="N196" s="29">
        <f>N42-I42</f>
        <v/>
      </c>
      <c r="O196" s="30">
        <f>O42-J42</f>
        <v/>
      </c>
      <c r="P196" s="30">
        <f>P42-K42</f>
        <v/>
      </c>
      <c r="Q196" s="30">
        <f>Q42-L42</f>
        <v/>
      </c>
      <c r="R196" s="31">
        <f>R42-M42</f>
        <v/>
      </c>
      <c r="S196" s="29">
        <f>S42-N42</f>
        <v/>
      </c>
      <c r="T196" s="30">
        <f>T42-O42</f>
        <v/>
      </c>
      <c r="U196" s="30">
        <f>U42-P42</f>
        <v/>
      </c>
      <c r="V196" s="30">
        <f>V42-Q42</f>
        <v/>
      </c>
      <c r="W196" s="31">
        <f>W42-R42</f>
        <v/>
      </c>
      <c r="X196" s="29">
        <f>X42-S42</f>
        <v/>
      </c>
    </row>
    <row r="197">
      <c r="A197" s="9" t="inlineStr">
        <is>
          <t>GTLB</t>
        </is>
      </c>
      <c r="D197" s="7" t="n"/>
      <c r="H197" s="8" t="n"/>
      <c r="I197" s="29">
        <f>I43-D43</f>
        <v/>
      </c>
      <c r="J197" s="30">
        <f>J43-E43</f>
        <v/>
      </c>
      <c r="K197" s="30">
        <f>K43-F43</f>
        <v/>
      </c>
      <c r="L197" s="30">
        <f>L43-G43</f>
        <v/>
      </c>
      <c r="M197" s="31">
        <f>M43-H43</f>
        <v/>
      </c>
      <c r="N197" s="29">
        <f>N43-I43</f>
        <v/>
      </c>
      <c r="O197" s="30">
        <f>O43-J43</f>
        <v/>
      </c>
      <c r="P197" s="30">
        <f>P43-K43</f>
        <v/>
      </c>
      <c r="Q197" s="30">
        <f>Q43-L43</f>
        <v/>
      </c>
      <c r="R197" s="31">
        <f>R43-M43</f>
        <v/>
      </c>
      <c r="S197" s="29">
        <f>S43-N43</f>
        <v/>
      </c>
      <c r="T197" s="30">
        <f>T43-O43</f>
        <v/>
      </c>
      <c r="U197" s="30">
        <f>U43-P43</f>
        <v/>
      </c>
      <c r="V197" s="30">
        <f>V43-Q43</f>
        <v/>
      </c>
      <c r="W197" s="31">
        <f>W43-R43</f>
        <v/>
      </c>
      <c r="X197" s="29">
        <f>X43-S43</f>
        <v/>
      </c>
    </row>
    <row r="198">
      <c r="A198" s="9" t="inlineStr">
        <is>
          <t>DOCN</t>
        </is>
      </c>
      <c r="D198" s="7" t="n"/>
      <c r="H198" s="8" t="n"/>
      <c r="I198" s="29">
        <f>I44-D44</f>
        <v/>
      </c>
      <c r="J198" s="30">
        <f>J44-E44</f>
        <v/>
      </c>
      <c r="K198" s="30">
        <f>K44-F44</f>
        <v/>
      </c>
      <c r="L198" s="30">
        <f>L44-G44</f>
        <v/>
      </c>
      <c r="M198" s="31">
        <f>M44-H44</f>
        <v/>
      </c>
      <c r="N198" s="29">
        <f>N44-I44</f>
        <v/>
      </c>
      <c r="O198" s="30">
        <f>O44-J44</f>
        <v/>
      </c>
      <c r="P198" s="30">
        <f>P44-K44</f>
        <v/>
      </c>
      <c r="Q198" s="30">
        <f>Q44-L44</f>
        <v/>
      </c>
      <c r="R198" s="31">
        <f>R44-M44</f>
        <v/>
      </c>
      <c r="S198" s="29">
        <f>S44-N44</f>
        <v/>
      </c>
      <c r="T198" s="30">
        <f>T44-O44</f>
        <v/>
      </c>
      <c r="U198" s="30">
        <f>U44-P44</f>
        <v/>
      </c>
      <c r="V198" s="30">
        <f>V44-Q44</f>
        <v/>
      </c>
      <c r="W198" s="31">
        <f>W44-R44</f>
        <v/>
      </c>
      <c r="X198" s="29">
        <f>X44-S44</f>
        <v/>
      </c>
    </row>
    <row r="199">
      <c r="A199" s="9" t="inlineStr">
        <is>
          <t>SPSC</t>
        </is>
      </c>
      <c r="D199" s="7" t="n"/>
      <c r="H199" s="8" t="n"/>
      <c r="I199" s="29">
        <f>I45-D45</f>
        <v/>
      </c>
      <c r="J199" s="30">
        <f>J45-E45</f>
        <v/>
      </c>
      <c r="K199" s="30">
        <f>K45-F45</f>
        <v/>
      </c>
      <c r="L199" s="30">
        <f>L45-G45</f>
        <v/>
      </c>
      <c r="M199" s="31">
        <f>M45-H45</f>
        <v/>
      </c>
      <c r="N199" s="29">
        <f>N45-I45</f>
        <v/>
      </c>
      <c r="O199" s="30">
        <f>O45-J45</f>
        <v/>
      </c>
      <c r="P199" s="30">
        <f>P45-K45</f>
        <v/>
      </c>
      <c r="Q199" s="30">
        <f>Q45-L45</f>
        <v/>
      </c>
      <c r="R199" s="31">
        <f>R45-M45</f>
        <v/>
      </c>
      <c r="S199" s="29">
        <f>S45-N45</f>
        <v/>
      </c>
      <c r="T199" s="30">
        <f>T45-O45</f>
        <v/>
      </c>
      <c r="U199" s="30">
        <f>U45-P45</f>
        <v/>
      </c>
      <c r="V199" s="30">
        <f>V45-Q45</f>
        <v/>
      </c>
      <c r="W199" s="31">
        <f>W45-R45</f>
        <v/>
      </c>
      <c r="X199" s="29">
        <f>X45-S45</f>
        <v/>
      </c>
    </row>
    <row r="200">
      <c r="A200" s="9" t="inlineStr">
        <is>
          <t>BRZE</t>
        </is>
      </c>
      <c r="D200" s="7" t="n"/>
      <c r="H200" s="8" t="n"/>
      <c r="I200" s="29">
        <f>I46-D46</f>
        <v/>
      </c>
      <c r="J200" s="30">
        <f>J46-E46</f>
        <v/>
      </c>
      <c r="K200" s="30">
        <f>K46-F46</f>
        <v/>
      </c>
      <c r="L200" s="30">
        <f>L46-G46</f>
        <v/>
      </c>
      <c r="M200" s="31">
        <f>M46-H46</f>
        <v/>
      </c>
      <c r="N200" s="29">
        <f>N46-I46</f>
        <v/>
      </c>
      <c r="O200" s="30">
        <f>O46-J46</f>
        <v/>
      </c>
      <c r="P200" s="30">
        <f>P46-K46</f>
        <v/>
      </c>
      <c r="Q200" s="30">
        <f>Q46-L46</f>
        <v/>
      </c>
      <c r="R200" s="31">
        <f>R46-M46</f>
        <v/>
      </c>
      <c r="S200" s="29">
        <f>S46-N46</f>
        <v/>
      </c>
      <c r="T200" s="30">
        <f>T46-O46</f>
        <v/>
      </c>
      <c r="U200" s="30">
        <f>U46-P46</f>
        <v/>
      </c>
      <c r="V200" s="30">
        <f>V46-Q46</f>
        <v/>
      </c>
      <c r="W200" s="31">
        <f>W46-R46</f>
        <v/>
      </c>
      <c r="X200" s="29">
        <f>X46-S46</f>
        <v/>
      </c>
    </row>
    <row r="201">
      <c r="A201" s="9" t="inlineStr">
        <is>
          <t>CWAN</t>
        </is>
      </c>
      <c r="D201" s="7" t="n"/>
      <c r="H201" s="8" t="n"/>
      <c r="I201" s="29">
        <f>I47-D47</f>
        <v/>
      </c>
      <c r="J201" s="30">
        <f>J47-E47</f>
        <v/>
      </c>
      <c r="K201" s="30">
        <f>K47-F47</f>
        <v/>
      </c>
      <c r="L201" s="30">
        <f>L47-G47</f>
        <v/>
      </c>
      <c r="M201" s="31">
        <f>M47-H47</f>
        <v/>
      </c>
      <c r="N201" s="29">
        <f>N47-I47</f>
        <v/>
      </c>
      <c r="O201" s="30">
        <f>O47-J47</f>
        <v/>
      </c>
      <c r="P201" s="30">
        <f>P47-K47</f>
        <v/>
      </c>
      <c r="Q201" s="30">
        <f>Q47-L47</f>
        <v/>
      </c>
      <c r="R201" s="31">
        <f>R47-M47</f>
        <v/>
      </c>
      <c r="S201" s="29">
        <f>S47-N47</f>
        <v/>
      </c>
      <c r="T201" s="30">
        <f>T47-O47</f>
        <v/>
      </c>
      <c r="U201" s="30">
        <f>U47-P47</f>
        <v/>
      </c>
      <c r="V201" s="30">
        <f>V47-Q47</f>
        <v/>
      </c>
      <c r="W201" s="31">
        <f>W47-R47</f>
        <v/>
      </c>
      <c r="X201" s="29">
        <f>X47-S47</f>
        <v/>
      </c>
    </row>
    <row r="202">
      <c r="A202" s="9" t="inlineStr">
        <is>
          <t>APPN</t>
        </is>
      </c>
      <c r="D202" s="7" t="n"/>
      <c r="H202" s="8" t="n"/>
      <c r="I202" s="29">
        <f>I48-D48</f>
        <v/>
      </c>
      <c r="J202" s="30">
        <f>J48-E48</f>
        <v/>
      </c>
      <c r="K202" s="30">
        <f>K48-F48</f>
        <v/>
      </c>
      <c r="L202" s="30">
        <f>L48-G48</f>
        <v/>
      </c>
      <c r="M202" s="31">
        <f>M48-H48</f>
        <v/>
      </c>
      <c r="N202" s="29">
        <f>N48-I48</f>
        <v/>
      </c>
      <c r="O202" s="30">
        <f>O48-J48</f>
        <v/>
      </c>
      <c r="P202" s="30">
        <f>P48-K48</f>
        <v/>
      </c>
      <c r="Q202" s="30">
        <f>Q48-L48</f>
        <v/>
      </c>
      <c r="R202" s="31">
        <f>R48-M48</f>
        <v/>
      </c>
      <c r="S202" s="29">
        <f>S48-N48</f>
        <v/>
      </c>
      <c r="T202" s="30">
        <f>T48-O48</f>
        <v/>
      </c>
      <c r="U202" s="30">
        <f>U48-P48</f>
        <v/>
      </c>
      <c r="V202" s="30">
        <f>V48-Q48</f>
        <v/>
      </c>
      <c r="W202" s="31">
        <f>W48-R48</f>
        <v/>
      </c>
      <c r="X202" s="29">
        <f>X48-S48</f>
        <v/>
      </c>
    </row>
    <row r="203">
      <c r="A203" s="9" t="inlineStr">
        <is>
          <t>QLYS</t>
        </is>
      </c>
      <c r="D203" s="7" t="n"/>
      <c r="H203" s="8" t="n"/>
      <c r="I203" s="29">
        <f>I49-D49</f>
        <v/>
      </c>
      <c r="J203" s="30">
        <f>J49-E49</f>
        <v/>
      </c>
      <c r="K203" s="30">
        <f>K49-F49</f>
        <v/>
      </c>
      <c r="L203" s="30">
        <f>L49-G49</f>
        <v/>
      </c>
      <c r="M203" s="31">
        <f>M49-H49</f>
        <v/>
      </c>
      <c r="N203" s="29">
        <f>N49-I49</f>
        <v/>
      </c>
      <c r="O203" s="30">
        <f>O49-J49</f>
        <v/>
      </c>
      <c r="P203" s="30">
        <f>P49-K49</f>
        <v/>
      </c>
      <c r="Q203" s="30">
        <f>Q49-L49</f>
        <v/>
      </c>
      <c r="R203" s="31">
        <f>R49-M49</f>
        <v/>
      </c>
      <c r="S203" s="29">
        <f>S49-N49</f>
        <v/>
      </c>
      <c r="T203" s="30">
        <f>T49-O49</f>
        <v/>
      </c>
      <c r="U203" s="30">
        <f>U49-P49</f>
        <v/>
      </c>
      <c r="V203" s="30">
        <f>V49-Q49</f>
        <v/>
      </c>
      <c r="W203" s="31">
        <f>W49-R49</f>
        <v/>
      </c>
      <c r="X203" s="29">
        <f>X49-S49</f>
        <v/>
      </c>
    </row>
    <row r="204">
      <c r="A204" s="9" t="inlineStr">
        <is>
          <t>NCNO</t>
        </is>
      </c>
      <c r="D204" s="7" t="n"/>
      <c r="H204" s="8" t="n"/>
      <c r="I204" s="29">
        <f>I50-D50</f>
        <v/>
      </c>
      <c r="J204" s="30">
        <f>J50-E50</f>
        <v/>
      </c>
      <c r="K204" s="30">
        <f>K50-F50</f>
        <v/>
      </c>
      <c r="L204" s="30">
        <f>L50-G50</f>
        <v/>
      </c>
      <c r="M204" s="31">
        <f>M50-H50</f>
        <v/>
      </c>
      <c r="N204" s="29">
        <f>N50-I50</f>
        <v/>
      </c>
      <c r="O204" s="30">
        <f>O50-J50</f>
        <v/>
      </c>
      <c r="P204" s="30">
        <f>P50-K50</f>
        <v/>
      </c>
      <c r="Q204" s="30">
        <f>Q50-L50</f>
        <v/>
      </c>
      <c r="R204" s="31">
        <f>R50-M50</f>
        <v/>
      </c>
      <c r="S204" s="29">
        <f>S50-N50</f>
        <v/>
      </c>
      <c r="T204" s="30">
        <f>T50-O50</f>
        <v/>
      </c>
      <c r="U204" s="30">
        <f>U50-P50</f>
        <v/>
      </c>
      <c r="V204" s="30">
        <f>V50-Q50</f>
        <v/>
      </c>
      <c r="W204" s="31">
        <f>W50-R50</f>
        <v/>
      </c>
      <c r="X204" s="29">
        <f>X50-S50</f>
        <v/>
      </c>
    </row>
    <row r="205">
      <c r="A205" s="9" t="inlineStr">
        <is>
          <t>FROG</t>
        </is>
      </c>
      <c r="D205" s="7" t="n"/>
      <c r="H205" s="8" t="n"/>
      <c r="I205" s="29">
        <f>I51-D51</f>
        <v/>
      </c>
      <c r="J205" s="30">
        <f>J51-E51</f>
        <v/>
      </c>
      <c r="K205" s="30">
        <f>K51-F51</f>
        <v/>
      </c>
      <c r="L205" s="30">
        <f>L51-G51</f>
        <v/>
      </c>
      <c r="M205" s="31">
        <f>M51-H51</f>
        <v/>
      </c>
      <c r="N205" s="29">
        <f>N51-I51</f>
        <v/>
      </c>
      <c r="O205" s="30">
        <f>O51-J51</f>
        <v/>
      </c>
      <c r="P205" s="30">
        <f>P51-K51</f>
        <v/>
      </c>
      <c r="Q205" s="30">
        <f>Q51-L51</f>
        <v/>
      </c>
      <c r="R205" s="31">
        <f>R51-M51</f>
        <v/>
      </c>
      <c r="S205" s="29">
        <f>S51-N51</f>
        <v/>
      </c>
      <c r="T205" s="30">
        <f>T51-O51</f>
        <v/>
      </c>
      <c r="U205" s="30">
        <f>U51-P51</f>
        <v/>
      </c>
      <c r="V205" s="30">
        <f>V51-Q51</f>
        <v/>
      </c>
      <c r="W205" s="31">
        <f>W51-R51</f>
        <v/>
      </c>
      <c r="X205" s="29">
        <f>X51-S51</f>
        <v/>
      </c>
    </row>
    <row r="206">
      <c r="A206" s="17" t="inlineStr">
        <is>
          <t>Total Revenue</t>
        </is>
      </c>
      <c r="B206" s="18" t="n"/>
      <c r="C206" s="18" t="n"/>
      <c r="D206" s="24" t="n"/>
      <c r="E206" s="18" t="n"/>
      <c r="F206" s="18" t="n"/>
      <c r="G206" s="18" t="n"/>
      <c r="H206" s="25" t="n"/>
      <c r="I206" s="19">
        <f>I52-D52</f>
        <v/>
      </c>
      <c r="J206" s="20">
        <f>J52-E52</f>
        <v/>
      </c>
      <c r="K206" s="20">
        <f>K52-F52</f>
        <v/>
      </c>
      <c r="L206" s="20">
        <f>L52-G52</f>
        <v/>
      </c>
      <c r="M206" s="21">
        <f>M52-H52</f>
        <v/>
      </c>
      <c r="N206" s="19">
        <f>N52-I52</f>
        <v/>
      </c>
      <c r="O206" s="20">
        <f>O52-J52</f>
        <v/>
      </c>
      <c r="P206" s="20">
        <f>P52-K52</f>
        <v/>
      </c>
      <c r="Q206" s="20">
        <f>Q52-L52</f>
        <v/>
      </c>
      <c r="R206" s="21">
        <f>R52-M52</f>
        <v/>
      </c>
      <c r="S206" s="19">
        <f>S52-N52</f>
        <v/>
      </c>
      <c r="T206" s="20">
        <f>T52-O52</f>
        <v/>
      </c>
      <c r="U206" s="20">
        <f>U52-P52</f>
        <v/>
      </c>
      <c r="V206" s="20">
        <f>V52-Q52</f>
        <v/>
      </c>
      <c r="W206" s="21">
        <f>W52-R52</f>
        <v/>
      </c>
      <c r="X206" s="19">
        <f>X52-S52</f>
        <v/>
      </c>
    </row>
    <row r="207">
      <c r="D207" s="7" t="n"/>
      <c r="H207" s="8" t="n"/>
      <c r="I207" s="7" t="n"/>
      <c r="M207" s="8" t="n"/>
      <c r="N207" s="7" t="n"/>
      <c r="R207" s="8" t="n"/>
      <c r="S207" s="7" t="n"/>
      <c r="W207" s="8" t="n"/>
      <c r="X207" s="7" t="n"/>
    </row>
    <row r="208">
      <c r="A208" s="3" t="inlineStr">
        <is>
          <t>$ QoQ</t>
        </is>
      </c>
      <c r="D208" s="7" t="n"/>
      <c r="H208" s="8" t="n"/>
      <c r="I208" s="7" t="n"/>
      <c r="M208" s="8" t="n"/>
      <c r="N208" s="7" t="n"/>
      <c r="R208" s="8" t="n"/>
      <c r="S208" s="7" t="n"/>
      <c r="W208" s="8" t="n"/>
      <c r="X208" s="7" t="n"/>
    </row>
    <row r="209">
      <c r="A209" s="9" t="inlineStr">
        <is>
          <t>ADBE</t>
        </is>
      </c>
      <c r="D209" s="7" t="n"/>
      <c r="E209" s="30">
        <f>E4-D4</f>
        <v/>
      </c>
      <c r="F209" s="30">
        <f>F4-E4</f>
        <v/>
      </c>
      <c r="G209" s="30">
        <f>G4-F4</f>
        <v/>
      </c>
      <c r="H209" s="8" t="n"/>
      <c r="I209" s="29">
        <f>I4-G4</f>
        <v/>
      </c>
      <c r="J209" s="30">
        <f>J4-I4</f>
        <v/>
      </c>
      <c r="K209" s="30">
        <f>K4-J4</f>
        <v/>
      </c>
      <c r="L209" s="30">
        <f>L4-K4</f>
        <v/>
      </c>
      <c r="M209" s="8" t="n"/>
      <c r="N209" s="29">
        <f>N4-L4</f>
        <v/>
      </c>
      <c r="O209" s="30">
        <f>O4-N4</f>
        <v/>
      </c>
      <c r="P209" s="30">
        <f>P4-O4</f>
        <v/>
      </c>
      <c r="Q209" s="30">
        <f>Q4-P4</f>
        <v/>
      </c>
      <c r="R209" s="8" t="n"/>
      <c r="S209" s="29">
        <f>S4-Q4</f>
        <v/>
      </c>
      <c r="T209" s="30">
        <f>T4-S4</f>
        <v/>
      </c>
      <c r="U209" s="30">
        <f>U4-T4</f>
        <v/>
      </c>
      <c r="V209" s="30">
        <f>V4-U4</f>
        <v/>
      </c>
      <c r="W209" s="8" t="n"/>
      <c r="X209" s="29">
        <f>X4-V4</f>
        <v/>
      </c>
    </row>
    <row r="210">
      <c r="A210" s="9" t="inlineStr">
        <is>
          <t>INTU</t>
        </is>
      </c>
      <c r="D210" s="7" t="n"/>
      <c r="E210" s="30">
        <f>E5-D5</f>
        <v/>
      </c>
      <c r="F210" s="30">
        <f>F5-E5</f>
        <v/>
      </c>
      <c r="G210" s="30">
        <f>G5-F5</f>
        <v/>
      </c>
      <c r="H210" s="8" t="n"/>
      <c r="I210" s="29">
        <f>I5-G5</f>
        <v/>
      </c>
      <c r="J210" s="30">
        <f>J5-I5</f>
        <v/>
      </c>
      <c r="K210" s="30">
        <f>K5-J5</f>
        <v/>
      </c>
      <c r="L210" s="30">
        <f>L5-K5</f>
        <v/>
      </c>
      <c r="M210" s="8" t="n"/>
      <c r="N210" s="29">
        <f>N5-L5</f>
        <v/>
      </c>
      <c r="O210" s="30">
        <f>O5-N5</f>
        <v/>
      </c>
      <c r="P210" s="30">
        <f>P5-O5</f>
        <v/>
      </c>
      <c r="Q210" s="30">
        <f>Q5-P5</f>
        <v/>
      </c>
      <c r="R210" s="8" t="n"/>
      <c r="S210" s="29">
        <f>S5-Q5</f>
        <v/>
      </c>
      <c r="T210" s="30">
        <f>T5-S5</f>
        <v/>
      </c>
      <c r="U210" s="30">
        <f>U5-T5</f>
        <v/>
      </c>
      <c r="V210" s="30">
        <f>V5-U5</f>
        <v/>
      </c>
      <c r="W210" s="8" t="n"/>
      <c r="X210" s="29">
        <f>X5-V5</f>
        <v/>
      </c>
    </row>
    <row r="211">
      <c r="A211" s="9" t="inlineStr">
        <is>
          <t>NOW</t>
        </is>
      </c>
      <c r="D211" s="7" t="n"/>
      <c r="E211" s="30">
        <f>E6-D6</f>
        <v/>
      </c>
      <c r="F211" s="30">
        <f>F6-E6</f>
        <v/>
      </c>
      <c r="G211" s="30">
        <f>G6-F6</f>
        <v/>
      </c>
      <c r="H211" s="8" t="n"/>
      <c r="I211" s="29">
        <f>I6-G6</f>
        <v/>
      </c>
      <c r="J211" s="30">
        <f>J6-I6</f>
        <v/>
      </c>
      <c r="K211" s="30">
        <f>K6-J6</f>
        <v/>
      </c>
      <c r="L211" s="30">
        <f>L6-K6</f>
        <v/>
      </c>
      <c r="M211" s="8" t="n"/>
      <c r="N211" s="29">
        <f>N6-L6</f>
        <v/>
      </c>
      <c r="O211" s="30">
        <f>O6-N6</f>
        <v/>
      </c>
      <c r="P211" s="30">
        <f>P6-O6</f>
        <v/>
      </c>
      <c r="Q211" s="30">
        <f>Q6-P6</f>
        <v/>
      </c>
      <c r="R211" s="8" t="n"/>
      <c r="S211" s="29">
        <f>S6-Q6</f>
        <v/>
      </c>
      <c r="T211" s="30">
        <f>T6-S6</f>
        <v/>
      </c>
      <c r="U211" s="30">
        <f>U6-T6</f>
        <v/>
      </c>
      <c r="V211" s="30">
        <f>V6-U6</f>
        <v/>
      </c>
      <c r="W211" s="8" t="n"/>
      <c r="X211" s="29">
        <f>X6-V6</f>
        <v/>
      </c>
    </row>
    <row r="212">
      <c r="A212" s="9" t="inlineStr">
        <is>
          <t>PANW</t>
        </is>
      </c>
      <c r="D212" s="7" t="n"/>
      <c r="E212" s="30">
        <f>E7-D7</f>
        <v/>
      </c>
      <c r="F212" s="30">
        <f>F7-E7</f>
        <v/>
      </c>
      <c r="G212" s="30">
        <f>G7-F7</f>
        <v/>
      </c>
      <c r="H212" s="8" t="n"/>
      <c r="I212" s="29">
        <f>I7-G7</f>
        <v/>
      </c>
      <c r="J212" s="30">
        <f>J7-I7</f>
        <v/>
      </c>
      <c r="K212" s="30">
        <f>K7-J7</f>
        <v/>
      </c>
      <c r="L212" s="30">
        <f>L7-K7</f>
        <v/>
      </c>
      <c r="M212" s="8" t="n"/>
      <c r="N212" s="29">
        <f>N7-L7</f>
        <v/>
      </c>
      <c r="O212" s="30">
        <f>O7-N7</f>
        <v/>
      </c>
      <c r="P212" s="30">
        <f>P7-O7</f>
        <v/>
      </c>
      <c r="Q212" s="30">
        <f>Q7-P7</f>
        <v/>
      </c>
      <c r="R212" s="8" t="n"/>
      <c r="S212" s="29">
        <f>S7-Q7</f>
        <v/>
      </c>
      <c r="T212" s="30">
        <f>T7-S7</f>
        <v/>
      </c>
      <c r="U212" s="30">
        <f>U7-T7</f>
        <v/>
      </c>
      <c r="V212" s="30">
        <f>V7-U7</f>
        <v/>
      </c>
      <c r="W212" s="8" t="n"/>
      <c r="X212" s="29">
        <f>X7-V7</f>
        <v/>
      </c>
    </row>
    <row r="213">
      <c r="A213" s="9" t="inlineStr">
        <is>
          <t>WDAY</t>
        </is>
      </c>
      <c r="D213" s="7" t="n"/>
      <c r="E213" s="30">
        <f>E8-D8</f>
        <v/>
      </c>
      <c r="F213" s="30">
        <f>F8-E8</f>
        <v/>
      </c>
      <c r="G213" s="30">
        <f>G8-F8</f>
        <v/>
      </c>
      <c r="H213" s="8" t="n"/>
      <c r="I213" s="29">
        <f>I8-G8</f>
        <v/>
      </c>
      <c r="J213" s="30">
        <f>J8-I8</f>
        <v/>
      </c>
      <c r="K213" s="30">
        <f>K8-J8</f>
        <v/>
      </c>
      <c r="L213" s="30">
        <f>L8-K8</f>
        <v/>
      </c>
      <c r="M213" s="8" t="n"/>
      <c r="N213" s="29">
        <f>N8-L8</f>
        <v/>
      </c>
      <c r="O213" s="30">
        <f>O8-N8</f>
        <v/>
      </c>
      <c r="P213" s="30">
        <f>P8-O8</f>
        <v/>
      </c>
      <c r="Q213" s="30">
        <f>Q8-P8</f>
        <v/>
      </c>
      <c r="R213" s="8" t="n"/>
      <c r="S213" s="29">
        <f>S8-Q8</f>
        <v/>
      </c>
      <c r="T213" s="30">
        <f>T8-S8</f>
        <v/>
      </c>
      <c r="U213" s="30">
        <f>U8-T8</f>
        <v/>
      </c>
      <c r="V213" s="30">
        <f>V8-U8</f>
        <v/>
      </c>
      <c r="W213" s="8" t="n"/>
      <c r="X213" s="29">
        <f>X8-V8</f>
        <v/>
      </c>
    </row>
    <row r="214">
      <c r="A214" s="9" t="inlineStr">
        <is>
          <t>SNPS</t>
        </is>
      </c>
      <c r="D214" s="7" t="n"/>
      <c r="E214" s="30">
        <f>E9-D9</f>
        <v/>
      </c>
      <c r="F214" s="30">
        <f>F9-E9</f>
        <v/>
      </c>
      <c r="G214" s="30">
        <f>G9-F9</f>
        <v/>
      </c>
      <c r="H214" s="8" t="n"/>
      <c r="I214" s="29">
        <f>I9-G9</f>
        <v/>
      </c>
      <c r="J214" s="30">
        <f>J9-I9</f>
        <v/>
      </c>
      <c r="K214" s="30">
        <f>K9-J9</f>
        <v/>
      </c>
      <c r="L214" s="30">
        <f>L9-K9</f>
        <v/>
      </c>
      <c r="M214" s="8" t="n"/>
      <c r="N214" s="29">
        <f>N9-L9</f>
        <v/>
      </c>
      <c r="O214" s="30">
        <f>O9-N9</f>
        <v/>
      </c>
      <c r="P214" s="30">
        <f>P9-O9</f>
        <v/>
      </c>
      <c r="Q214" s="30">
        <f>Q9-P9</f>
        <v/>
      </c>
      <c r="R214" s="8" t="n"/>
      <c r="S214" s="29">
        <f>S9-Q9</f>
        <v/>
      </c>
      <c r="T214" s="30">
        <f>T9-S9</f>
        <v/>
      </c>
      <c r="U214" s="30">
        <f>U9-T9</f>
        <v/>
      </c>
      <c r="V214" s="30">
        <f>V9-U9</f>
        <v/>
      </c>
      <c r="W214" s="8" t="n"/>
      <c r="X214" s="29">
        <f>X9-V9</f>
        <v/>
      </c>
    </row>
    <row r="215">
      <c r="A215" s="9" t="inlineStr">
        <is>
          <t>ROP</t>
        </is>
      </c>
      <c r="D215" s="7" t="n"/>
      <c r="E215" s="30">
        <f>E10-D10</f>
        <v/>
      </c>
      <c r="F215" s="30">
        <f>F10-E10</f>
        <v/>
      </c>
      <c r="G215" s="30">
        <f>G10-F10</f>
        <v/>
      </c>
      <c r="H215" s="8" t="n"/>
      <c r="I215" s="29">
        <f>I10-G10</f>
        <v/>
      </c>
      <c r="J215" s="30">
        <f>J10-I10</f>
        <v/>
      </c>
      <c r="K215" s="30">
        <f>K10-J10</f>
        <v/>
      </c>
      <c r="L215" s="30">
        <f>L10-K10</f>
        <v/>
      </c>
      <c r="M215" s="8" t="n"/>
      <c r="N215" s="29">
        <f>N10-L10</f>
        <v/>
      </c>
      <c r="O215" s="30">
        <f>O10-N10</f>
        <v/>
      </c>
      <c r="P215" s="30">
        <f>P10-O10</f>
        <v/>
      </c>
      <c r="Q215" s="30">
        <f>Q10-P10</f>
        <v/>
      </c>
      <c r="R215" s="8" t="n"/>
      <c r="S215" s="29">
        <f>S10-Q10</f>
        <v/>
      </c>
      <c r="T215" s="30">
        <f>T10-S10</f>
        <v/>
      </c>
      <c r="U215" s="30">
        <f>U10-T10</f>
        <v/>
      </c>
      <c r="V215" s="30">
        <f>V10-U10</f>
        <v/>
      </c>
      <c r="W215" s="8" t="n"/>
      <c r="X215" s="29">
        <f>X10-V10</f>
        <v/>
      </c>
    </row>
    <row r="216">
      <c r="A216" s="9" t="inlineStr">
        <is>
          <t>ADSK</t>
        </is>
      </c>
      <c r="D216" s="7" t="n"/>
      <c r="E216" s="30">
        <f>E11-D11</f>
        <v/>
      </c>
      <c r="F216" s="30">
        <f>F11-E11</f>
        <v/>
      </c>
      <c r="G216" s="30">
        <f>G11-F11</f>
        <v/>
      </c>
      <c r="H216" s="8" t="n"/>
      <c r="I216" s="29">
        <f>I11-G11</f>
        <v/>
      </c>
      <c r="J216" s="30">
        <f>J11-I11</f>
        <v/>
      </c>
      <c r="K216" s="30">
        <f>K11-J11</f>
        <v/>
      </c>
      <c r="L216" s="30">
        <f>L11-K11</f>
        <v/>
      </c>
      <c r="M216" s="8" t="n"/>
      <c r="N216" s="29">
        <f>N11-L11</f>
        <v/>
      </c>
      <c r="O216" s="30">
        <f>O11-N11</f>
        <v/>
      </c>
      <c r="P216" s="30">
        <f>P11-O11</f>
        <v/>
      </c>
      <c r="Q216" s="30">
        <f>Q11-P11</f>
        <v/>
      </c>
      <c r="R216" s="8" t="n"/>
      <c r="S216" s="29">
        <f>S11-Q11</f>
        <v/>
      </c>
      <c r="T216" s="30">
        <f>T11-S11</f>
        <v/>
      </c>
      <c r="U216" s="30">
        <f>U11-T11</f>
        <v/>
      </c>
      <c r="V216" s="30">
        <f>V11-U11</f>
        <v/>
      </c>
      <c r="W216" s="8" t="n"/>
      <c r="X216" s="29">
        <f>X11-V11</f>
        <v/>
      </c>
    </row>
    <row r="217">
      <c r="A217" s="9" t="inlineStr">
        <is>
          <t>FTNT</t>
        </is>
      </c>
      <c r="D217" s="7" t="n"/>
      <c r="E217" s="30">
        <f>E12-D12</f>
        <v/>
      </c>
      <c r="F217" s="30">
        <f>F12-E12</f>
        <v/>
      </c>
      <c r="G217" s="30">
        <f>G12-F12</f>
        <v/>
      </c>
      <c r="H217" s="8" t="n"/>
      <c r="I217" s="29">
        <f>I12-G12</f>
        <v/>
      </c>
      <c r="J217" s="30">
        <f>J12-I12</f>
        <v/>
      </c>
      <c r="K217" s="30">
        <f>K12-J12</f>
        <v/>
      </c>
      <c r="L217" s="30">
        <f>L12-K12</f>
        <v/>
      </c>
      <c r="M217" s="8" t="n"/>
      <c r="N217" s="29">
        <f>N12-L12</f>
        <v/>
      </c>
      <c r="O217" s="30">
        <f>O12-N12</f>
        <v/>
      </c>
      <c r="P217" s="30">
        <f>P12-O12</f>
        <v/>
      </c>
      <c r="Q217" s="30">
        <f>Q12-P12</f>
        <v/>
      </c>
      <c r="R217" s="8" t="n"/>
      <c r="S217" s="29">
        <f>S12-Q12</f>
        <v/>
      </c>
      <c r="T217" s="30">
        <f>T12-S12</f>
        <v/>
      </c>
      <c r="U217" s="30">
        <f>U12-T12</f>
        <v/>
      </c>
      <c r="V217" s="30">
        <f>V12-U12</f>
        <v/>
      </c>
      <c r="W217" s="8" t="n"/>
      <c r="X217" s="29">
        <f>X12-V12</f>
        <v/>
      </c>
    </row>
    <row r="218">
      <c r="A218" s="9" t="inlineStr">
        <is>
          <t>TOST</t>
        </is>
      </c>
      <c r="D218" s="7" t="n"/>
      <c r="E218" s="30">
        <f>E13-D13</f>
        <v/>
      </c>
      <c r="F218" s="30">
        <f>F13-E13</f>
        <v/>
      </c>
      <c r="G218" s="30">
        <f>G13-F13</f>
        <v/>
      </c>
      <c r="H218" s="8" t="n"/>
      <c r="I218" s="29">
        <f>I13-G13</f>
        <v/>
      </c>
      <c r="J218" s="30">
        <f>J13-I13</f>
        <v/>
      </c>
      <c r="K218" s="30">
        <f>K13-J13</f>
        <v/>
      </c>
      <c r="L218" s="30">
        <f>L13-K13</f>
        <v/>
      </c>
      <c r="M218" s="8" t="n"/>
      <c r="N218" s="29">
        <f>N13-L13</f>
        <v/>
      </c>
      <c r="O218" s="30">
        <f>O13-N13</f>
        <v/>
      </c>
      <c r="P218" s="30">
        <f>P13-O13</f>
        <v/>
      </c>
      <c r="Q218" s="30">
        <f>Q13-P13</f>
        <v/>
      </c>
      <c r="R218" s="8" t="n"/>
      <c r="S218" s="29">
        <f>S13-Q13</f>
        <v/>
      </c>
      <c r="T218" s="30">
        <f>T13-S13</f>
        <v/>
      </c>
      <c r="U218" s="30">
        <f>U13-T13</f>
        <v/>
      </c>
      <c r="V218" s="30">
        <f>V13-U13</f>
        <v/>
      </c>
      <c r="W218" s="8" t="n"/>
      <c r="X218" s="29">
        <f>X13-V13</f>
        <v/>
      </c>
    </row>
    <row r="219">
      <c r="A219" s="9" t="inlineStr">
        <is>
          <t>TEAM</t>
        </is>
      </c>
      <c r="D219" s="7" t="n"/>
      <c r="E219" s="30">
        <f>E14-D14</f>
        <v/>
      </c>
      <c r="F219" s="30">
        <f>F14-E14</f>
        <v/>
      </c>
      <c r="G219" s="30">
        <f>G14-F14</f>
        <v/>
      </c>
      <c r="H219" s="8" t="n"/>
      <c r="I219" s="29">
        <f>I14-G14</f>
        <v/>
      </c>
      <c r="J219" s="30">
        <f>J14-I14</f>
        <v/>
      </c>
      <c r="K219" s="30">
        <f>K14-J14</f>
        <v/>
      </c>
      <c r="L219" s="30">
        <f>L14-K14</f>
        <v/>
      </c>
      <c r="M219" s="8" t="n"/>
      <c r="N219" s="29">
        <f>N14-L14</f>
        <v/>
      </c>
      <c r="O219" s="30">
        <f>O14-N14</f>
        <v/>
      </c>
      <c r="P219" s="30">
        <f>P14-O14</f>
        <v/>
      </c>
      <c r="Q219" s="30">
        <f>Q14-P14</f>
        <v/>
      </c>
      <c r="R219" s="8" t="n"/>
      <c r="S219" s="29">
        <f>S14-Q14</f>
        <v/>
      </c>
      <c r="T219" s="30">
        <f>T14-S14</f>
        <v/>
      </c>
      <c r="U219" s="30">
        <f>U14-T14</f>
        <v/>
      </c>
      <c r="V219" s="30">
        <f>V14-U14</f>
        <v/>
      </c>
      <c r="W219" s="8" t="n"/>
      <c r="X219" s="29">
        <f>X14-V14</f>
        <v/>
      </c>
    </row>
    <row r="220">
      <c r="A220" s="9" t="inlineStr">
        <is>
          <t>APP</t>
        </is>
      </c>
      <c r="D220" s="7" t="n"/>
      <c r="E220" s="30">
        <f>E15-D15</f>
        <v/>
      </c>
      <c r="F220" s="30">
        <f>F15-E15</f>
        <v/>
      </c>
      <c r="G220" s="30">
        <f>G15-F15</f>
        <v/>
      </c>
      <c r="H220" s="8" t="n"/>
      <c r="I220" s="29">
        <f>I15-G15</f>
        <v/>
      </c>
      <c r="J220" s="30">
        <f>J15-I15</f>
        <v/>
      </c>
      <c r="K220" s="30">
        <f>K15-J15</f>
        <v/>
      </c>
      <c r="L220" s="30">
        <f>L15-K15</f>
        <v/>
      </c>
      <c r="M220" s="8" t="n"/>
      <c r="N220" s="29">
        <f>N15-L15</f>
        <v/>
      </c>
      <c r="O220" s="30">
        <f>O15-N15</f>
        <v/>
      </c>
      <c r="P220" s="30">
        <f>P15-O15</f>
        <v/>
      </c>
      <c r="Q220" s="30">
        <f>Q15-P15</f>
        <v/>
      </c>
      <c r="R220" s="8" t="n"/>
      <c r="S220" s="29">
        <f>S15-Q15</f>
        <v/>
      </c>
      <c r="T220" s="30">
        <f>T15-S15</f>
        <v/>
      </c>
      <c r="U220" s="30">
        <f>U15-T15</f>
        <v/>
      </c>
      <c r="V220" s="30">
        <f>V15-U15</f>
        <v/>
      </c>
      <c r="W220" s="8" t="n"/>
      <c r="X220" s="29">
        <f>X15-V15</f>
        <v/>
      </c>
    </row>
    <row r="221">
      <c r="A221" s="9" t="inlineStr">
        <is>
          <t>CDNS</t>
        </is>
      </c>
      <c r="D221" s="7" t="n"/>
      <c r="E221" s="30">
        <f>E16-D16</f>
        <v/>
      </c>
      <c r="F221" s="30">
        <f>F16-E16</f>
        <v/>
      </c>
      <c r="G221" s="30">
        <f>G16-F16</f>
        <v/>
      </c>
      <c r="H221" s="8" t="n"/>
      <c r="I221" s="29">
        <f>I16-G16</f>
        <v/>
      </c>
      <c r="J221" s="30">
        <f>J16-I16</f>
        <v/>
      </c>
      <c r="K221" s="30">
        <f>K16-J16</f>
        <v/>
      </c>
      <c r="L221" s="30">
        <f>L16-K16</f>
        <v/>
      </c>
      <c r="M221" s="8" t="n"/>
      <c r="N221" s="29">
        <f>N16-L16</f>
        <v/>
      </c>
      <c r="O221" s="30">
        <f>O16-N16</f>
        <v/>
      </c>
      <c r="P221" s="30">
        <f>P16-O16</f>
        <v/>
      </c>
      <c r="Q221" s="30">
        <f>Q16-P16</f>
        <v/>
      </c>
      <c r="R221" s="8" t="n"/>
      <c r="S221" s="29">
        <f>S16-Q16</f>
        <v/>
      </c>
      <c r="T221" s="30">
        <f>T16-S16</f>
        <v/>
      </c>
      <c r="U221" s="30">
        <f>U16-T16</f>
        <v/>
      </c>
      <c r="V221" s="30">
        <f>V16-U16</f>
        <v/>
      </c>
      <c r="W221" s="8" t="n"/>
      <c r="X221" s="29">
        <f>X16-V16</f>
        <v/>
      </c>
    </row>
    <row r="222">
      <c r="A222" s="9" t="inlineStr">
        <is>
          <t>CRWD</t>
        </is>
      </c>
      <c r="D222" s="7" t="n"/>
      <c r="E222" s="30">
        <f>E17-D17</f>
        <v/>
      </c>
      <c r="F222" s="30">
        <f>F17-E17</f>
        <v/>
      </c>
      <c r="G222" s="30">
        <f>G17-F17</f>
        <v/>
      </c>
      <c r="H222" s="8" t="n"/>
      <c r="I222" s="29">
        <f>I17-G17</f>
        <v/>
      </c>
      <c r="J222" s="30">
        <f>J17-I17</f>
        <v/>
      </c>
      <c r="K222" s="30">
        <f>K17-J17</f>
        <v/>
      </c>
      <c r="L222" s="30">
        <f>L17-K17</f>
        <v/>
      </c>
      <c r="M222" s="8" t="n"/>
      <c r="N222" s="29">
        <f>N17-L17</f>
        <v/>
      </c>
      <c r="O222" s="30">
        <f>O17-N17</f>
        <v/>
      </c>
      <c r="P222" s="30">
        <f>P17-O17</f>
        <v/>
      </c>
      <c r="Q222" s="30">
        <f>Q17-P17</f>
        <v/>
      </c>
      <c r="R222" s="8" t="n"/>
      <c r="S222" s="29">
        <f>S17-Q17</f>
        <v/>
      </c>
      <c r="T222" s="30">
        <f>T17-S17</f>
        <v/>
      </c>
      <c r="U222" s="30">
        <f>U17-T17</f>
        <v/>
      </c>
      <c r="V222" s="30">
        <f>V17-U17</f>
        <v/>
      </c>
      <c r="W222" s="8" t="n"/>
      <c r="X222" s="29">
        <f>X17-V17</f>
        <v/>
      </c>
    </row>
    <row r="223">
      <c r="A223" s="9" t="inlineStr">
        <is>
          <t>SNOW</t>
        </is>
      </c>
      <c r="D223" s="7" t="n"/>
      <c r="E223" s="30">
        <f>E18-D18</f>
        <v/>
      </c>
      <c r="F223" s="30">
        <f>F18-E18</f>
        <v/>
      </c>
      <c r="G223" s="30">
        <f>G18-F18</f>
        <v/>
      </c>
      <c r="H223" s="8" t="n"/>
      <c r="I223" s="29">
        <f>I18-G18</f>
        <v/>
      </c>
      <c r="J223" s="30">
        <f>J18-I18</f>
        <v/>
      </c>
      <c r="K223" s="30">
        <f>K18-J18</f>
        <v/>
      </c>
      <c r="L223" s="30">
        <f>L18-K18</f>
        <v/>
      </c>
      <c r="M223" s="8" t="n"/>
      <c r="N223" s="29">
        <f>N18-L18</f>
        <v/>
      </c>
      <c r="O223" s="30">
        <f>O18-N18</f>
        <v/>
      </c>
      <c r="P223" s="30">
        <f>P18-O18</f>
        <v/>
      </c>
      <c r="Q223" s="30">
        <f>Q18-P18</f>
        <v/>
      </c>
      <c r="R223" s="8" t="n"/>
      <c r="S223" s="29">
        <f>S18-Q18</f>
        <v/>
      </c>
      <c r="T223" s="30">
        <f>T18-S18</f>
        <v/>
      </c>
      <c r="U223" s="30">
        <f>U18-T18</f>
        <v/>
      </c>
      <c r="V223" s="30">
        <f>V18-U18</f>
        <v/>
      </c>
      <c r="W223" s="8" t="n"/>
      <c r="X223" s="29">
        <f>X18-V18</f>
        <v/>
      </c>
    </row>
    <row r="224">
      <c r="A224" s="9" t="inlineStr">
        <is>
          <t>PLTR</t>
        </is>
      </c>
      <c r="D224" s="7" t="n"/>
      <c r="E224" s="30">
        <f>E19-D19</f>
        <v/>
      </c>
      <c r="F224" s="30">
        <f>F19-E19</f>
        <v/>
      </c>
      <c r="G224" s="30">
        <f>G19-F19</f>
        <v/>
      </c>
      <c r="H224" s="8" t="n"/>
      <c r="I224" s="29">
        <f>I19-G19</f>
        <v/>
      </c>
      <c r="J224" s="30">
        <f>J19-I19</f>
        <v/>
      </c>
      <c r="K224" s="30">
        <f>K19-J19</f>
        <v/>
      </c>
      <c r="L224" s="30">
        <f>L19-K19</f>
        <v/>
      </c>
      <c r="M224" s="8" t="n"/>
      <c r="N224" s="29">
        <f>N19-L19</f>
        <v/>
      </c>
      <c r="O224" s="30">
        <f>O19-N19</f>
        <v/>
      </c>
      <c r="P224" s="30">
        <f>P19-O19</f>
        <v/>
      </c>
      <c r="Q224" s="30">
        <f>Q19-P19</f>
        <v/>
      </c>
      <c r="R224" s="8" t="n"/>
      <c r="S224" s="29">
        <f>S19-Q19</f>
        <v/>
      </c>
      <c r="T224" s="30">
        <f>T19-S19</f>
        <v/>
      </c>
      <c r="U224" s="30">
        <f>U19-T19</f>
        <v/>
      </c>
      <c r="V224" s="30">
        <f>V19-U19</f>
        <v/>
      </c>
      <c r="W224" s="8" t="n"/>
      <c r="X224" s="29">
        <f>X19-V19</f>
        <v/>
      </c>
    </row>
    <row r="225">
      <c r="A225" s="9" t="inlineStr">
        <is>
          <t>DDOG</t>
        </is>
      </c>
      <c r="D225" s="7" t="n"/>
      <c r="E225" s="30">
        <f>E20-D20</f>
        <v/>
      </c>
      <c r="F225" s="30">
        <f>F20-E20</f>
        <v/>
      </c>
      <c r="G225" s="30">
        <f>G20-F20</f>
        <v/>
      </c>
      <c r="H225" s="8" t="n"/>
      <c r="I225" s="29">
        <f>I20-G20</f>
        <v/>
      </c>
      <c r="J225" s="30">
        <f>J20-I20</f>
        <v/>
      </c>
      <c r="K225" s="30">
        <f>K20-J20</f>
        <v/>
      </c>
      <c r="L225" s="30">
        <f>L20-K20</f>
        <v/>
      </c>
      <c r="M225" s="8" t="n"/>
      <c r="N225" s="29">
        <f>N20-L20</f>
        <v/>
      </c>
      <c r="O225" s="30">
        <f>O20-N20</f>
        <v/>
      </c>
      <c r="P225" s="30">
        <f>P20-O20</f>
        <v/>
      </c>
      <c r="Q225" s="30">
        <f>Q20-P20</f>
        <v/>
      </c>
      <c r="R225" s="8" t="n"/>
      <c r="S225" s="29">
        <f>S20-Q20</f>
        <v/>
      </c>
      <c r="T225" s="30">
        <f>T20-S20</f>
        <v/>
      </c>
      <c r="U225" s="30">
        <f>U20-T20</f>
        <v/>
      </c>
      <c r="V225" s="30">
        <f>V20-U20</f>
        <v/>
      </c>
      <c r="W225" s="8" t="n"/>
      <c r="X225" s="29">
        <f>X20-V20</f>
        <v/>
      </c>
    </row>
    <row r="226">
      <c r="A226" s="9" t="inlineStr">
        <is>
          <t>VEEV</t>
        </is>
      </c>
      <c r="D226" s="7" t="n"/>
      <c r="E226" s="30">
        <f>E21-D21</f>
        <v/>
      </c>
      <c r="F226" s="30">
        <f>F21-E21</f>
        <v/>
      </c>
      <c r="G226" s="30">
        <f>G21-F21</f>
        <v/>
      </c>
      <c r="H226" s="8" t="n"/>
      <c r="I226" s="29">
        <f>I21-G21</f>
        <v/>
      </c>
      <c r="J226" s="30">
        <f>J21-I21</f>
        <v/>
      </c>
      <c r="K226" s="30">
        <f>K21-J21</f>
        <v/>
      </c>
      <c r="L226" s="30">
        <f>L21-K21</f>
        <v/>
      </c>
      <c r="M226" s="8" t="n"/>
      <c r="N226" s="29">
        <f>N21-L21</f>
        <v/>
      </c>
      <c r="O226" s="30">
        <f>O21-N21</f>
        <v/>
      </c>
      <c r="P226" s="30">
        <f>P21-O21</f>
        <v/>
      </c>
      <c r="Q226" s="30">
        <f>Q21-P21</f>
        <v/>
      </c>
      <c r="R226" s="8" t="n"/>
      <c r="S226" s="29">
        <f>S21-Q21</f>
        <v/>
      </c>
      <c r="T226" s="30">
        <f>T21-S21</f>
        <v/>
      </c>
      <c r="U226" s="30">
        <f>U21-T21</f>
        <v/>
      </c>
      <c r="V226" s="30">
        <f>V21-U21</f>
        <v/>
      </c>
      <c r="W226" s="8" t="n"/>
      <c r="X226" s="29">
        <f>X21-V21</f>
        <v/>
      </c>
    </row>
    <row r="227">
      <c r="A227" s="9" t="inlineStr">
        <is>
          <t>HUBS</t>
        </is>
      </c>
      <c r="D227" s="7" t="n"/>
      <c r="E227" s="30">
        <f>E22-D22</f>
        <v/>
      </c>
      <c r="F227" s="30">
        <f>F22-E22</f>
        <v/>
      </c>
      <c r="G227" s="30">
        <f>G22-F22</f>
        <v/>
      </c>
      <c r="H227" s="8" t="n"/>
      <c r="I227" s="29">
        <f>I22-G22</f>
        <v/>
      </c>
      <c r="J227" s="30">
        <f>J22-I22</f>
        <v/>
      </c>
      <c r="K227" s="30">
        <f>K22-J22</f>
        <v/>
      </c>
      <c r="L227" s="30">
        <f>L22-K22</f>
        <v/>
      </c>
      <c r="M227" s="8" t="n"/>
      <c r="N227" s="29">
        <f>N22-L22</f>
        <v/>
      </c>
      <c r="O227" s="30">
        <f>O22-N22</f>
        <v/>
      </c>
      <c r="P227" s="30">
        <f>P22-O22</f>
        <v/>
      </c>
      <c r="Q227" s="30">
        <f>Q22-P22</f>
        <v/>
      </c>
      <c r="R227" s="8" t="n"/>
      <c r="S227" s="29">
        <f>S22-Q22</f>
        <v/>
      </c>
      <c r="T227" s="30">
        <f>T22-S22</f>
        <v/>
      </c>
      <c r="U227" s="30">
        <f>U22-T22</f>
        <v/>
      </c>
      <c r="V227" s="30">
        <f>V22-U22</f>
        <v/>
      </c>
      <c r="W227" s="8" t="n"/>
      <c r="X227" s="29">
        <f>X22-V22</f>
        <v/>
      </c>
    </row>
    <row r="228">
      <c r="A228" s="9" t="inlineStr">
        <is>
          <t>ZS</t>
        </is>
      </c>
      <c r="D228" s="7" t="n"/>
      <c r="E228" s="30">
        <f>E23-D23</f>
        <v/>
      </c>
      <c r="F228" s="30">
        <f>F23-E23</f>
        <v/>
      </c>
      <c r="G228" s="30">
        <f>G23-F23</f>
        <v/>
      </c>
      <c r="H228" s="8" t="n"/>
      <c r="I228" s="29">
        <f>I23-G23</f>
        <v/>
      </c>
      <c r="J228" s="30">
        <f>J23-I23</f>
        <v/>
      </c>
      <c r="K228" s="30">
        <f>K23-J23</f>
        <v/>
      </c>
      <c r="L228" s="30">
        <f>L23-K23</f>
        <v/>
      </c>
      <c r="M228" s="8" t="n"/>
      <c r="N228" s="29">
        <f>N23-L23</f>
        <v/>
      </c>
      <c r="O228" s="30">
        <f>O23-N23</f>
        <v/>
      </c>
      <c r="P228" s="30">
        <f>P23-O23</f>
        <v/>
      </c>
      <c r="Q228" s="30">
        <f>Q23-P23</f>
        <v/>
      </c>
      <c r="R228" s="8" t="n"/>
      <c r="S228" s="29">
        <f>S23-Q23</f>
        <v/>
      </c>
      <c r="T228" s="30">
        <f>T23-S23</f>
        <v/>
      </c>
      <c r="U228" s="30">
        <f>U23-T23</f>
        <v/>
      </c>
      <c r="V228" s="30">
        <f>V23-U23</f>
        <v/>
      </c>
      <c r="W228" s="8" t="n"/>
      <c r="X228" s="29">
        <f>X23-V23</f>
        <v/>
      </c>
    </row>
    <row r="229">
      <c r="A229" s="9" t="inlineStr">
        <is>
          <t>OKTA</t>
        </is>
      </c>
      <c r="D229" s="7" t="n"/>
      <c r="E229" s="30">
        <f>E24-D24</f>
        <v/>
      </c>
      <c r="F229" s="30">
        <f>F24-E24</f>
        <v/>
      </c>
      <c r="G229" s="30">
        <f>G24-F24</f>
        <v/>
      </c>
      <c r="H229" s="8" t="n"/>
      <c r="I229" s="29">
        <f>I24-G24</f>
        <v/>
      </c>
      <c r="J229" s="30">
        <f>J24-I24</f>
        <v/>
      </c>
      <c r="K229" s="30">
        <f>K24-J24</f>
        <v/>
      </c>
      <c r="L229" s="30">
        <f>L24-K24</f>
        <v/>
      </c>
      <c r="M229" s="8" t="n"/>
      <c r="N229" s="29">
        <f>N24-L24</f>
        <v/>
      </c>
      <c r="O229" s="30">
        <f>O24-N24</f>
        <v/>
      </c>
      <c r="P229" s="30">
        <f>P24-O24</f>
        <v/>
      </c>
      <c r="Q229" s="30">
        <f>Q24-P24</f>
        <v/>
      </c>
      <c r="R229" s="8" t="n"/>
      <c r="S229" s="29">
        <f>S24-Q24</f>
        <v/>
      </c>
      <c r="T229" s="30">
        <f>T24-S24</f>
        <v/>
      </c>
      <c r="U229" s="30">
        <f>U24-T24</f>
        <v/>
      </c>
      <c r="V229" s="30">
        <f>V24-U24</f>
        <v/>
      </c>
      <c r="W229" s="8" t="n"/>
      <c r="X229" s="29">
        <f>X24-V24</f>
        <v/>
      </c>
    </row>
    <row r="230">
      <c r="A230" s="9" t="inlineStr">
        <is>
          <t>TTD</t>
        </is>
      </c>
      <c r="D230" s="7" t="n"/>
      <c r="E230" s="30">
        <f>E25-D25</f>
        <v/>
      </c>
      <c r="F230" s="30">
        <f>F25-E25</f>
        <v/>
      </c>
      <c r="G230" s="30">
        <f>G25-F25</f>
        <v/>
      </c>
      <c r="H230" s="8" t="n"/>
      <c r="I230" s="29">
        <f>I25-G25</f>
        <v/>
      </c>
      <c r="J230" s="30">
        <f>J25-I25</f>
        <v/>
      </c>
      <c r="K230" s="30">
        <f>K25-J25</f>
        <v/>
      </c>
      <c r="L230" s="30">
        <f>L25-K25</f>
        <v/>
      </c>
      <c r="M230" s="8" t="n"/>
      <c r="N230" s="29">
        <f>N25-L25</f>
        <v/>
      </c>
      <c r="O230" s="30">
        <f>O25-N25</f>
        <v/>
      </c>
      <c r="P230" s="30">
        <f>P25-O25</f>
        <v/>
      </c>
      <c r="Q230" s="30">
        <f>Q25-P25</f>
        <v/>
      </c>
      <c r="R230" s="8" t="n"/>
      <c r="S230" s="29">
        <f>S25-Q25</f>
        <v/>
      </c>
      <c r="T230" s="30">
        <f>T25-S25</f>
        <v/>
      </c>
      <c r="U230" s="30">
        <f>U25-T25</f>
        <v/>
      </c>
      <c r="V230" s="30">
        <f>V25-U25</f>
        <v/>
      </c>
      <c r="W230" s="8" t="n"/>
      <c r="X230" s="29">
        <f>X25-V25</f>
        <v/>
      </c>
    </row>
    <row r="231">
      <c r="A231" s="9" t="inlineStr">
        <is>
          <t>MDB</t>
        </is>
      </c>
      <c r="D231" s="7" t="n"/>
      <c r="E231" s="30">
        <f>E26-D26</f>
        <v/>
      </c>
      <c r="F231" s="30">
        <f>F26-E26</f>
        <v/>
      </c>
      <c r="G231" s="30">
        <f>G26-F26</f>
        <v/>
      </c>
      <c r="H231" s="8" t="n"/>
      <c r="I231" s="29">
        <f>I26-G26</f>
        <v/>
      </c>
      <c r="J231" s="30">
        <f>J26-I26</f>
        <v/>
      </c>
      <c r="K231" s="30">
        <f>K26-J26</f>
        <v/>
      </c>
      <c r="L231" s="30">
        <f>L26-K26</f>
        <v/>
      </c>
      <c r="M231" s="8" t="n"/>
      <c r="N231" s="29">
        <f>N26-L26</f>
        <v/>
      </c>
      <c r="O231" s="30">
        <f>O26-N26</f>
        <v/>
      </c>
      <c r="P231" s="30">
        <f>P26-O26</f>
        <v/>
      </c>
      <c r="Q231" s="30">
        <f>Q26-P26</f>
        <v/>
      </c>
      <c r="R231" s="8" t="n"/>
      <c r="S231" s="29">
        <f>S26-Q26</f>
        <v/>
      </c>
      <c r="T231" s="30">
        <f>T26-S26</f>
        <v/>
      </c>
      <c r="U231" s="30">
        <f>U26-T26</f>
        <v/>
      </c>
      <c r="V231" s="30">
        <f>V26-U26</f>
        <v/>
      </c>
      <c r="W231" s="8" t="n"/>
      <c r="X231" s="29">
        <f>X26-V26</f>
        <v/>
      </c>
    </row>
    <row r="232">
      <c r="A232" s="9" t="inlineStr">
        <is>
          <t>PAYC</t>
        </is>
      </c>
      <c r="D232" s="7" t="n"/>
      <c r="E232" s="30">
        <f>E27-D27</f>
        <v/>
      </c>
      <c r="F232" s="30">
        <f>F27-E27</f>
        <v/>
      </c>
      <c r="G232" s="30">
        <f>G27-F27</f>
        <v/>
      </c>
      <c r="H232" s="8" t="n"/>
      <c r="I232" s="29">
        <f>I27-G27</f>
        <v/>
      </c>
      <c r="J232" s="30">
        <f>J27-I27</f>
        <v/>
      </c>
      <c r="K232" s="30">
        <f>K27-J27</f>
        <v/>
      </c>
      <c r="L232" s="30">
        <f>L27-K27</f>
        <v/>
      </c>
      <c r="M232" s="8" t="n"/>
      <c r="N232" s="29">
        <f>N27-L27</f>
        <v/>
      </c>
      <c r="O232" s="30">
        <f>O27-N27</f>
        <v/>
      </c>
      <c r="P232" s="30">
        <f>P27-O27</f>
        <v/>
      </c>
      <c r="Q232" s="30">
        <f>Q27-P27</f>
        <v/>
      </c>
      <c r="R232" s="8" t="n"/>
      <c r="S232" s="29">
        <f>S27-Q27</f>
        <v/>
      </c>
      <c r="T232" s="30">
        <f>T27-S27</f>
        <v/>
      </c>
      <c r="U232" s="30">
        <f>U27-T27</f>
        <v/>
      </c>
      <c r="V232" s="30">
        <f>V27-U27</f>
        <v/>
      </c>
      <c r="W232" s="8" t="n"/>
      <c r="X232" s="29">
        <f>X27-V27</f>
        <v/>
      </c>
    </row>
    <row r="233">
      <c r="A233" s="9" t="inlineStr">
        <is>
          <t>DT</t>
        </is>
      </c>
      <c r="D233" s="7" t="n"/>
      <c r="E233" s="30">
        <f>E28-D28</f>
        <v/>
      </c>
      <c r="F233" s="30">
        <f>F28-E28</f>
        <v/>
      </c>
      <c r="G233" s="30">
        <f>G28-F28</f>
        <v/>
      </c>
      <c r="H233" s="8" t="n"/>
      <c r="I233" s="29">
        <f>I28-G28</f>
        <v/>
      </c>
      <c r="J233" s="30">
        <f>J28-I28</f>
        <v/>
      </c>
      <c r="K233" s="30">
        <f>K28-J28</f>
        <v/>
      </c>
      <c r="L233" s="30">
        <f>L28-K28</f>
        <v/>
      </c>
      <c r="M233" s="8" t="n"/>
      <c r="N233" s="29">
        <f>N28-L28</f>
        <v/>
      </c>
      <c r="O233" s="30">
        <f>O28-N28</f>
        <v/>
      </c>
      <c r="P233" s="30">
        <f>P28-O28</f>
        <v/>
      </c>
      <c r="Q233" s="30">
        <f>Q28-P28</f>
        <v/>
      </c>
      <c r="R233" s="8" t="n"/>
      <c r="S233" s="29">
        <f>S28-Q28</f>
        <v/>
      </c>
      <c r="T233" s="30">
        <f>T28-S28</f>
        <v/>
      </c>
      <c r="U233" s="30">
        <f>U28-T28</f>
        <v/>
      </c>
      <c r="V233" s="30">
        <f>V28-U28</f>
        <v/>
      </c>
      <c r="W233" s="8" t="n"/>
      <c r="X233" s="29">
        <f>X28-V28</f>
        <v/>
      </c>
    </row>
    <row r="234">
      <c r="A234" s="9" t="inlineStr">
        <is>
          <t>PCTY</t>
        </is>
      </c>
      <c r="D234" s="7" t="n"/>
      <c r="E234" s="30">
        <f>E29-D29</f>
        <v/>
      </c>
      <c r="F234" s="30">
        <f>F29-E29</f>
        <v/>
      </c>
      <c r="G234" s="30">
        <f>G29-F29</f>
        <v/>
      </c>
      <c r="H234" s="8" t="n"/>
      <c r="I234" s="29">
        <f>I29-G29</f>
        <v/>
      </c>
      <c r="J234" s="30">
        <f>J29-I29</f>
        <v/>
      </c>
      <c r="K234" s="30">
        <f>K29-J29</f>
        <v/>
      </c>
      <c r="L234" s="30">
        <f>L29-K29</f>
        <v/>
      </c>
      <c r="M234" s="8" t="n"/>
      <c r="N234" s="29">
        <f>N29-L29</f>
        <v/>
      </c>
      <c r="O234" s="30">
        <f>O29-N29</f>
        <v/>
      </c>
      <c r="P234" s="30">
        <f>P29-O29</f>
        <v/>
      </c>
      <c r="Q234" s="30">
        <f>Q29-P29</f>
        <v/>
      </c>
      <c r="R234" s="8" t="n"/>
      <c r="S234" s="29">
        <f>S29-Q29</f>
        <v/>
      </c>
      <c r="T234" s="30">
        <f>T29-S29</f>
        <v/>
      </c>
      <c r="U234" s="30">
        <f>U29-T29</f>
        <v/>
      </c>
      <c r="V234" s="30">
        <f>V29-U29</f>
        <v/>
      </c>
      <c r="W234" s="8" t="n"/>
      <c r="X234" s="29">
        <f>X29-V29</f>
        <v/>
      </c>
    </row>
    <row r="235">
      <c r="A235" s="9" t="inlineStr">
        <is>
          <t>ESTC</t>
        </is>
      </c>
      <c r="D235" s="7" t="n"/>
      <c r="E235" s="30">
        <f>E30-D30</f>
        <v/>
      </c>
      <c r="F235" s="30">
        <f>F30-E30</f>
        <v/>
      </c>
      <c r="G235" s="30">
        <f>G30-F30</f>
        <v/>
      </c>
      <c r="H235" s="8" t="n"/>
      <c r="I235" s="29">
        <f>I30-G30</f>
        <v/>
      </c>
      <c r="J235" s="30">
        <f>J30-I30</f>
        <v/>
      </c>
      <c r="K235" s="30">
        <f>K30-J30</f>
        <v/>
      </c>
      <c r="L235" s="30">
        <f>L30-K30</f>
        <v/>
      </c>
      <c r="M235" s="8" t="n"/>
      <c r="N235" s="29">
        <f>N30-L30</f>
        <v/>
      </c>
      <c r="O235" s="30">
        <f>O30-N30</f>
        <v/>
      </c>
      <c r="P235" s="30">
        <f>P30-O30</f>
        <v/>
      </c>
      <c r="Q235" s="30">
        <f>Q30-P30</f>
        <v/>
      </c>
      <c r="R235" s="8" t="n"/>
      <c r="S235" s="29">
        <f>S30-Q30</f>
        <v/>
      </c>
      <c r="T235" s="30">
        <f>T30-S30</f>
        <v/>
      </c>
      <c r="U235" s="30">
        <f>U30-T30</f>
        <v/>
      </c>
      <c r="V235" s="30">
        <f>V30-U30</f>
        <v/>
      </c>
      <c r="W235" s="8" t="n"/>
      <c r="X235" s="29">
        <f>X30-V30</f>
        <v/>
      </c>
    </row>
    <row r="236">
      <c r="A236" s="9" t="inlineStr">
        <is>
          <t>BILL</t>
        </is>
      </c>
      <c r="D236" s="7" t="n"/>
      <c r="E236" s="30">
        <f>E31-D31</f>
        <v/>
      </c>
      <c r="F236" s="30">
        <f>F31-E31</f>
        <v/>
      </c>
      <c r="G236" s="30">
        <f>G31-F31</f>
        <v/>
      </c>
      <c r="H236" s="8" t="n"/>
      <c r="I236" s="29">
        <f>I31-G31</f>
        <v/>
      </c>
      <c r="J236" s="30">
        <f>J31-I31</f>
        <v/>
      </c>
      <c r="K236" s="30">
        <f>K31-J31</f>
        <v/>
      </c>
      <c r="L236" s="30">
        <f>L31-K31</f>
        <v/>
      </c>
      <c r="M236" s="8" t="n"/>
      <c r="N236" s="29">
        <f>N31-L31</f>
        <v/>
      </c>
      <c r="O236" s="30">
        <f>O31-N31</f>
        <v/>
      </c>
      <c r="P236" s="30">
        <f>P31-O31</f>
        <v/>
      </c>
      <c r="Q236" s="30">
        <f>Q31-P31</f>
        <v/>
      </c>
      <c r="R236" s="8" t="n"/>
      <c r="S236" s="29">
        <f>S31-Q31</f>
        <v/>
      </c>
      <c r="T236" s="30">
        <f>T31-S31</f>
        <v/>
      </c>
      <c r="U236" s="30">
        <f>U31-T31</f>
        <v/>
      </c>
      <c r="V236" s="30">
        <f>V31-U31</f>
        <v/>
      </c>
      <c r="W236" s="8" t="n"/>
      <c r="X236" s="29">
        <f>X31-V31</f>
        <v/>
      </c>
    </row>
    <row r="237">
      <c r="A237" s="9" t="inlineStr">
        <is>
          <t>BSY</t>
        </is>
      </c>
      <c r="D237" s="7" t="n"/>
      <c r="E237" s="30">
        <f>E32-D32</f>
        <v/>
      </c>
      <c r="F237" s="30">
        <f>F32-E32</f>
        <v/>
      </c>
      <c r="G237" s="30">
        <f>G32-F32</f>
        <v/>
      </c>
      <c r="H237" s="8" t="n"/>
      <c r="I237" s="29">
        <f>I32-G32</f>
        <v/>
      </c>
      <c r="J237" s="30">
        <f>J32-I32</f>
        <v/>
      </c>
      <c r="K237" s="30">
        <f>K32-J32</f>
        <v/>
      </c>
      <c r="L237" s="30">
        <f>L32-K32</f>
        <v/>
      </c>
      <c r="M237" s="8" t="n"/>
      <c r="N237" s="29">
        <f>N32-L32</f>
        <v/>
      </c>
      <c r="O237" s="30">
        <f>O32-N32</f>
        <v/>
      </c>
      <c r="P237" s="30">
        <f>P32-O32</f>
        <v/>
      </c>
      <c r="Q237" s="30">
        <f>Q32-P32</f>
        <v/>
      </c>
      <c r="R237" s="8" t="n"/>
      <c r="S237" s="29">
        <f>S32-Q32</f>
        <v/>
      </c>
      <c r="T237" s="30">
        <f>T32-S32</f>
        <v/>
      </c>
      <c r="U237" s="30">
        <f>U32-T32</f>
        <v/>
      </c>
      <c r="V237" s="30">
        <f>V32-U32</f>
        <v/>
      </c>
      <c r="W237" s="8" t="n"/>
      <c r="X237" s="29">
        <f>X32-V32</f>
        <v/>
      </c>
    </row>
    <row r="238">
      <c r="A238" s="9" t="inlineStr">
        <is>
          <t>GWRE</t>
        </is>
      </c>
      <c r="D238" s="7" t="n"/>
      <c r="E238" s="30">
        <f>E33-D33</f>
        <v/>
      </c>
      <c r="F238" s="30">
        <f>F33-E33</f>
        <v/>
      </c>
      <c r="G238" s="30">
        <f>G33-F33</f>
        <v/>
      </c>
      <c r="H238" s="8" t="n"/>
      <c r="I238" s="29">
        <f>I33-G33</f>
        <v/>
      </c>
      <c r="J238" s="30">
        <f>J33-I33</f>
        <v/>
      </c>
      <c r="K238" s="30">
        <f>K33-J33</f>
        <v/>
      </c>
      <c r="L238" s="30">
        <f>L33-K33</f>
        <v/>
      </c>
      <c r="M238" s="8" t="n"/>
      <c r="N238" s="29">
        <f>N33-L33</f>
        <v/>
      </c>
      <c r="O238" s="30">
        <f>O33-N33</f>
        <v/>
      </c>
      <c r="P238" s="30">
        <f>P33-O33</f>
        <v/>
      </c>
      <c r="Q238" s="30">
        <f>Q33-P33</f>
        <v/>
      </c>
      <c r="R238" s="8" t="n"/>
      <c r="S238" s="29">
        <f>S33-Q33</f>
        <v/>
      </c>
      <c r="T238" s="30">
        <f>T33-S33</f>
        <v/>
      </c>
      <c r="U238" s="30">
        <f>U33-T33</f>
        <v/>
      </c>
      <c r="V238" s="30">
        <f>V33-U33</f>
        <v/>
      </c>
      <c r="W238" s="8" t="n"/>
      <c r="X238" s="29">
        <f>X33-V33</f>
        <v/>
      </c>
    </row>
    <row r="239">
      <c r="A239" s="9" t="inlineStr">
        <is>
          <t>PCOR</t>
        </is>
      </c>
      <c r="D239" s="7" t="n"/>
      <c r="E239" s="30">
        <f>E34-D34</f>
        <v/>
      </c>
      <c r="F239" s="30">
        <f>F34-E34</f>
        <v/>
      </c>
      <c r="G239" s="30">
        <f>G34-F34</f>
        <v/>
      </c>
      <c r="H239" s="8" t="n"/>
      <c r="I239" s="29">
        <f>I34-G34</f>
        <v/>
      </c>
      <c r="J239" s="30">
        <f>J34-I34</f>
        <v/>
      </c>
      <c r="K239" s="30">
        <f>K34-J34</f>
        <v/>
      </c>
      <c r="L239" s="30">
        <f>L34-K34</f>
        <v/>
      </c>
      <c r="M239" s="8" t="n"/>
      <c r="N239" s="29">
        <f>N34-L34</f>
        <v/>
      </c>
      <c r="O239" s="30">
        <f>O34-N34</f>
        <v/>
      </c>
      <c r="P239" s="30">
        <f>P34-O34</f>
        <v/>
      </c>
      <c r="Q239" s="30">
        <f>Q34-P34</f>
        <v/>
      </c>
      <c r="R239" s="8" t="n"/>
      <c r="S239" s="29">
        <f>S34-Q34</f>
        <v/>
      </c>
      <c r="T239" s="30">
        <f>T34-S34</f>
        <v/>
      </c>
      <c r="U239" s="30">
        <f>U34-T34</f>
        <v/>
      </c>
      <c r="V239" s="30">
        <f>V34-U34</f>
        <v/>
      </c>
      <c r="W239" s="8" t="n"/>
      <c r="X239" s="29">
        <f>X34-V34</f>
        <v/>
      </c>
    </row>
    <row r="240">
      <c r="A240" s="9" t="inlineStr">
        <is>
          <t>ZI</t>
        </is>
      </c>
      <c r="D240" s="7" t="n"/>
      <c r="E240" s="30">
        <f>E35-D35</f>
        <v/>
      </c>
      <c r="F240" s="30">
        <f>F35-E35</f>
        <v/>
      </c>
      <c r="G240" s="30">
        <f>G35-F35</f>
        <v/>
      </c>
      <c r="H240" s="8" t="n"/>
      <c r="I240" s="29">
        <f>I35-G35</f>
        <v/>
      </c>
      <c r="J240" s="30">
        <f>J35-I35</f>
        <v/>
      </c>
      <c r="K240" s="30">
        <f>K35-J35</f>
        <v/>
      </c>
      <c r="L240" s="30">
        <f>L35-K35</f>
        <v/>
      </c>
      <c r="M240" s="8" t="n"/>
      <c r="N240" s="29">
        <f>N35-L35</f>
        <v/>
      </c>
      <c r="O240" s="30">
        <f>O35-N35</f>
        <v/>
      </c>
      <c r="P240" s="30">
        <f>P35-O35</f>
        <v/>
      </c>
      <c r="Q240" s="30">
        <f>Q35-P35</f>
        <v/>
      </c>
      <c r="R240" s="8" t="n"/>
      <c r="S240" s="29">
        <f>S35-Q35</f>
        <v/>
      </c>
      <c r="T240" s="30">
        <f>T35-S35</f>
        <v/>
      </c>
      <c r="U240" s="30">
        <f>U35-T35</f>
        <v/>
      </c>
      <c r="V240" s="30">
        <f>V35-U35</f>
        <v/>
      </c>
      <c r="W240" s="8" t="n"/>
      <c r="X240" s="29">
        <f>X35-V35</f>
        <v/>
      </c>
    </row>
    <row r="241">
      <c r="A241" s="9" t="inlineStr">
        <is>
          <t>KVYO</t>
        </is>
      </c>
      <c r="D241" s="7" t="n"/>
      <c r="E241" s="30">
        <f>E36-D36</f>
        <v/>
      </c>
      <c r="F241" s="30">
        <f>F36-E36</f>
        <v/>
      </c>
      <c r="G241" s="30">
        <f>G36-F36</f>
        <v/>
      </c>
      <c r="H241" s="8" t="n"/>
      <c r="I241" s="29">
        <f>I36-G36</f>
        <v/>
      </c>
      <c r="J241" s="30">
        <f>J36-I36</f>
        <v/>
      </c>
      <c r="K241" s="30">
        <f>K36-J36</f>
        <v/>
      </c>
      <c r="L241" s="30">
        <f>L36-K36</f>
        <v/>
      </c>
      <c r="M241" s="8" t="n"/>
      <c r="N241" s="29">
        <f>N36-L36</f>
        <v/>
      </c>
      <c r="O241" s="30">
        <f>O36-N36</f>
        <v/>
      </c>
      <c r="P241" s="30">
        <f>P36-O36</f>
        <v/>
      </c>
      <c r="Q241" s="30">
        <f>Q36-P36</f>
        <v/>
      </c>
      <c r="R241" s="8" t="n"/>
      <c r="S241" s="29">
        <f>S36-Q36</f>
        <v/>
      </c>
      <c r="T241" s="30">
        <f>T36-S36</f>
        <v/>
      </c>
      <c r="U241" s="30">
        <f>U36-T36</f>
        <v/>
      </c>
      <c r="V241" s="30">
        <f>V36-U36</f>
        <v/>
      </c>
      <c r="W241" s="8" t="n"/>
      <c r="X241" s="29">
        <f>X36-V36</f>
        <v/>
      </c>
    </row>
    <row r="242">
      <c r="A242" s="9" t="inlineStr">
        <is>
          <t>MNDY</t>
        </is>
      </c>
      <c r="D242" s="7" t="n"/>
      <c r="E242" s="30">
        <f>E37-D37</f>
        <v/>
      </c>
      <c r="F242" s="30">
        <f>F37-E37</f>
        <v/>
      </c>
      <c r="G242" s="30">
        <f>G37-F37</f>
        <v/>
      </c>
      <c r="H242" s="8" t="n"/>
      <c r="I242" s="29">
        <f>I37-G37</f>
        <v/>
      </c>
      <c r="J242" s="30">
        <f>J37-I37</f>
        <v/>
      </c>
      <c r="K242" s="30">
        <f>K37-J37</f>
        <v/>
      </c>
      <c r="L242" s="30">
        <f>L37-K37</f>
        <v/>
      </c>
      <c r="M242" s="8" t="n"/>
      <c r="N242" s="29">
        <f>N37-L37</f>
        <v/>
      </c>
      <c r="O242" s="30">
        <f>O37-N37</f>
        <v/>
      </c>
      <c r="P242" s="30">
        <f>P37-O37</f>
        <v/>
      </c>
      <c r="Q242" s="30">
        <f>Q37-P37</f>
        <v/>
      </c>
      <c r="R242" s="8" t="n"/>
      <c r="S242" s="29">
        <f>S37-Q37</f>
        <v/>
      </c>
      <c r="T242" s="30">
        <f>T37-S37</f>
        <v/>
      </c>
      <c r="U242" s="30">
        <f>U37-T37</f>
        <v/>
      </c>
      <c r="V242" s="30">
        <f>V37-U37</f>
        <v/>
      </c>
      <c r="W242" s="8" t="n"/>
      <c r="X242" s="29">
        <f>X37-V37</f>
        <v/>
      </c>
    </row>
    <row r="243">
      <c r="A243" s="9" t="inlineStr">
        <is>
          <t>CFLT</t>
        </is>
      </c>
      <c r="D243" s="7" t="n"/>
      <c r="E243" s="30">
        <f>E38-D38</f>
        <v/>
      </c>
      <c r="F243" s="30">
        <f>F38-E38</f>
        <v/>
      </c>
      <c r="G243" s="30">
        <f>G38-F38</f>
        <v/>
      </c>
      <c r="H243" s="8" t="n"/>
      <c r="I243" s="29">
        <f>I38-G38</f>
        <v/>
      </c>
      <c r="J243" s="30">
        <f>J38-I38</f>
        <v/>
      </c>
      <c r="K243" s="30">
        <f>K38-J38</f>
        <v/>
      </c>
      <c r="L243" s="30">
        <f>L38-K38</f>
        <v/>
      </c>
      <c r="M243" s="8" t="n"/>
      <c r="N243" s="29">
        <f>N38-L38</f>
        <v/>
      </c>
      <c r="O243" s="30">
        <f>O38-N38</f>
        <v/>
      </c>
      <c r="P243" s="30">
        <f>P38-O38</f>
        <v/>
      </c>
      <c r="Q243" s="30">
        <f>Q38-P38</f>
        <v/>
      </c>
      <c r="R243" s="8" t="n"/>
      <c r="S243" s="29">
        <f>S38-Q38</f>
        <v/>
      </c>
      <c r="T243" s="30">
        <f>T38-S38</f>
        <v/>
      </c>
      <c r="U243" s="30">
        <f>U38-T38</f>
        <v/>
      </c>
      <c r="V243" s="30">
        <f>V38-U38</f>
        <v/>
      </c>
      <c r="W243" s="8" t="n"/>
      <c r="X243" s="29">
        <f>X38-V38</f>
        <v/>
      </c>
    </row>
    <row r="244">
      <c r="A244" s="9" t="inlineStr">
        <is>
          <t>AZPN</t>
        </is>
      </c>
      <c r="D244" s="7" t="n"/>
      <c r="E244" s="30">
        <f>E39-D39</f>
        <v/>
      </c>
      <c r="F244" s="30">
        <f>F39-E39</f>
        <v/>
      </c>
      <c r="G244" s="30">
        <f>G39-F39</f>
        <v/>
      </c>
      <c r="H244" s="8" t="n"/>
      <c r="I244" s="29">
        <f>I39-G39</f>
        <v/>
      </c>
      <c r="J244" s="30">
        <f>J39-I39</f>
        <v/>
      </c>
      <c r="K244" s="30">
        <f>K39-J39</f>
        <v/>
      </c>
      <c r="L244" s="30">
        <f>L39-K39</f>
        <v/>
      </c>
      <c r="M244" s="8" t="n"/>
      <c r="N244" s="29">
        <f>N39-L39</f>
        <v/>
      </c>
      <c r="O244" s="30">
        <f>O39-N39</f>
        <v/>
      </c>
      <c r="P244" s="30">
        <f>P39-O39</f>
        <v/>
      </c>
      <c r="Q244" s="30">
        <f>Q39-P39</f>
        <v/>
      </c>
      <c r="R244" s="8" t="n"/>
      <c r="S244" s="29">
        <f>S39-Q39</f>
        <v/>
      </c>
      <c r="T244" s="30">
        <f>T39-S39</f>
        <v/>
      </c>
      <c r="U244" s="30">
        <f>U39-T39</f>
        <v/>
      </c>
      <c r="V244" s="30">
        <f>V39-U39</f>
        <v/>
      </c>
      <c r="W244" s="8" t="n"/>
      <c r="X244" s="29">
        <f>X39-V39</f>
        <v/>
      </c>
    </row>
    <row r="245">
      <c r="A245" s="9" t="inlineStr">
        <is>
          <t>MANH</t>
        </is>
      </c>
      <c r="D245" s="7" t="n"/>
      <c r="E245" s="30">
        <f>E40-D40</f>
        <v/>
      </c>
      <c r="F245" s="30">
        <f>F40-E40</f>
        <v/>
      </c>
      <c r="G245" s="30">
        <f>G40-F40</f>
        <v/>
      </c>
      <c r="H245" s="8" t="n"/>
      <c r="I245" s="29">
        <f>I40-G40</f>
        <v/>
      </c>
      <c r="J245" s="30">
        <f>J40-I40</f>
        <v/>
      </c>
      <c r="K245" s="30">
        <f>K40-J40</f>
        <v/>
      </c>
      <c r="L245" s="30">
        <f>L40-K40</f>
        <v/>
      </c>
      <c r="M245" s="8" t="n"/>
      <c r="N245" s="29">
        <f>N40-L40</f>
        <v/>
      </c>
      <c r="O245" s="30">
        <f>O40-N40</f>
        <v/>
      </c>
      <c r="P245" s="30">
        <f>P40-O40</f>
        <v/>
      </c>
      <c r="Q245" s="30">
        <f>Q40-P40</f>
        <v/>
      </c>
      <c r="R245" s="8" t="n"/>
      <c r="S245" s="29">
        <f>S40-Q40</f>
        <v/>
      </c>
      <c r="T245" s="30">
        <f>T40-S40</f>
        <v/>
      </c>
      <c r="U245" s="30">
        <f>U40-T40</f>
        <v/>
      </c>
      <c r="V245" s="30">
        <f>V40-U40</f>
        <v/>
      </c>
      <c r="W245" s="8" t="n"/>
      <c r="X245" s="29">
        <f>X40-V40</f>
        <v/>
      </c>
    </row>
    <row r="246">
      <c r="A246" s="9" t="inlineStr">
        <is>
          <t>S</t>
        </is>
      </c>
      <c r="D246" s="7" t="n"/>
      <c r="E246" s="30">
        <f>E41-D41</f>
        <v/>
      </c>
      <c r="F246" s="30">
        <f>F41-E41</f>
        <v/>
      </c>
      <c r="G246" s="30">
        <f>G41-F41</f>
        <v/>
      </c>
      <c r="H246" s="8" t="n"/>
      <c r="I246" s="29">
        <f>I41-G41</f>
        <v/>
      </c>
      <c r="J246" s="30">
        <f>J41-I41</f>
        <v/>
      </c>
      <c r="K246" s="30">
        <f>K41-J41</f>
        <v/>
      </c>
      <c r="L246" s="30">
        <f>L41-K41</f>
        <v/>
      </c>
      <c r="M246" s="8" t="n"/>
      <c r="N246" s="29">
        <f>N41-L41</f>
        <v/>
      </c>
      <c r="O246" s="30">
        <f>O41-N41</f>
        <v/>
      </c>
      <c r="P246" s="30">
        <f>P41-O41</f>
        <v/>
      </c>
      <c r="Q246" s="30">
        <f>Q41-P41</f>
        <v/>
      </c>
      <c r="R246" s="8" t="n"/>
      <c r="S246" s="29">
        <f>S41-Q41</f>
        <v/>
      </c>
      <c r="T246" s="30">
        <f>T41-S41</f>
        <v/>
      </c>
      <c r="U246" s="30">
        <f>U41-T41</f>
        <v/>
      </c>
      <c r="V246" s="30">
        <f>V41-U41</f>
        <v/>
      </c>
      <c r="W246" s="8" t="n"/>
      <c r="X246" s="29">
        <f>X41-V41</f>
        <v/>
      </c>
    </row>
    <row r="247">
      <c r="A247" s="9" t="inlineStr">
        <is>
          <t>TENB</t>
        </is>
      </c>
      <c r="D247" s="7" t="n"/>
      <c r="E247" s="30">
        <f>E42-D42</f>
        <v/>
      </c>
      <c r="F247" s="30">
        <f>F42-E42</f>
        <v/>
      </c>
      <c r="G247" s="30">
        <f>G42-F42</f>
        <v/>
      </c>
      <c r="H247" s="8" t="n"/>
      <c r="I247" s="29">
        <f>I42-G42</f>
        <v/>
      </c>
      <c r="J247" s="30">
        <f>J42-I42</f>
        <v/>
      </c>
      <c r="K247" s="30">
        <f>K42-J42</f>
        <v/>
      </c>
      <c r="L247" s="30">
        <f>L42-K42</f>
        <v/>
      </c>
      <c r="M247" s="8" t="n"/>
      <c r="N247" s="29">
        <f>N42-L42</f>
        <v/>
      </c>
      <c r="O247" s="30">
        <f>O42-N42</f>
        <v/>
      </c>
      <c r="P247" s="30">
        <f>P42-O42</f>
        <v/>
      </c>
      <c r="Q247" s="30">
        <f>Q42-P42</f>
        <v/>
      </c>
      <c r="R247" s="8" t="n"/>
      <c r="S247" s="29">
        <f>S42-Q42</f>
        <v/>
      </c>
      <c r="T247" s="30">
        <f>T42-S42</f>
        <v/>
      </c>
      <c r="U247" s="30">
        <f>U42-T42</f>
        <v/>
      </c>
      <c r="V247" s="30">
        <f>V42-U42</f>
        <v/>
      </c>
      <c r="W247" s="8" t="n"/>
      <c r="X247" s="29">
        <f>X42-V42</f>
        <v/>
      </c>
    </row>
    <row r="248">
      <c r="A248" s="9" t="inlineStr">
        <is>
          <t>GTLB</t>
        </is>
      </c>
      <c r="D248" s="7" t="n"/>
      <c r="E248" s="30">
        <f>E43-D43</f>
        <v/>
      </c>
      <c r="F248" s="30">
        <f>F43-E43</f>
        <v/>
      </c>
      <c r="G248" s="30">
        <f>G43-F43</f>
        <v/>
      </c>
      <c r="H248" s="8" t="n"/>
      <c r="I248" s="29">
        <f>I43-G43</f>
        <v/>
      </c>
      <c r="J248" s="30">
        <f>J43-I43</f>
        <v/>
      </c>
      <c r="K248" s="30">
        <f>K43-J43</f>
        <v/>
      </c>
      <c r="L248" s="30">
        <f>L43-K43</f>
        <v/>
      </c>
      <c r="M248" s="8" t="n"/>
      <c r="N248" s="29">
        <f>N43-L43</f>
        <v/>
      </c>
      <c r="O248" s="30">
        <f>O43-N43</f>
        <v/>
      </c>
      <c r="P248" s="30">
        <f>P43-O43</f>
        <v/>
      </c>
      <c r="Q248" s="30">
        <f>Q43-P43</f>
        <v/>
      </c>
      <c r="R248" s="8" t="n"/>
      <c r="S248" s="29">
        <f>S43-Q43</f>
        <v/>
      </c>
      <c r="T248" s="30">
        <f>T43-S43</f>
        <v/>
      </c>
      <c r="U248" s="30">
        <f>U43-T43</f>
        <v/>
      </c>
      <c r="V248" s="30">
        <f>V43-U43</f>
        <v/>
      </c>
      <c r="W248" s="8" t="n"/>
      <c r="X248" s="29">
        <f>X43-V43</f>
        <v/>
      </c>
    </row>
    <row r="249">
      <c r="A249" s="9" t="inlineStr">
        <is>
          <t>DOCN</t>
        </is>
      </c>
      <c r="D249" s="7" t="n"/>
      <c r="E249" s="30">
        <f>E44-D44</f>
        <v/>
      </c>
      <c r="F249" s="30">
        <f>F44-E44</f>
        <v/>
      </c>
      <c r="G249" s="30">
        <f>G44-F44</f>
        <v/>
      </c>
      <c r="H249" s="8" t="n"/>
      <c r="I249" s="29">
        <f>I44-G44</f>
        <v/>
      </c>
      <c r="J249" s="30">
        <f>J44-I44</f>
        <v/>
      </c>
      <c r="K249" s="30">
        <f>K44-J44</f>
        <v/>
      </c>
      <c r="L249" s="30">
        <f>L44-K44</f>
        <v/>
      </c>
      <c r="M249" s="8" t="n"/>
      <c r="N249" s="29">
        <f>N44-L44</f>
        <v/>
      </c>
      <c r="O249" s="30">
        <f>O44-N44</f>
        <v/>
      </c>
      <c r="P249" s="30">
        <f>P44-O44</f>
        <v/>
      </c>
      <c r="Q249" s="30">
        <f>Q44-P44</f>
        <v/>
      </c>
      <c r="R249" s="8" t="n"/>
      <c r="S249" s="29">
        <f>S44-Q44</f>
        <v/>
      </c>
      <c r="T249" s="30">
        <f>T44-S44</f>
        <v/>
      </c>
      <c r="U249" s="30">
        <f>U44-T44</f>
        <v/>
      </c>
      <c r="V249" s="30">
        <f>V44-U44</f>
        <v/>
      </c>
      <c r="W249" s="8" t="n"/>
      <c r="X249" s="29">
        <f>X44-V44</f>
        <v/>
      </c>
    </row>
    <row r="250">
      <c r="A250" s="9" t="inlineStr">
        <is>
          <t>SPSC</t>
        </is>
      </c>
      <c r="D250" s="7" t="n"/>
      <c r="E250" s="30">
        <f>E45-D45</f>
        <v/>
      </c>
      <c r="F250" s="30">
        <f>F45-E45</f>
        <v/>
      </c>
      <c r="G250" s="30">
        <f>G45-F45</f>
        <v/>
      </c>
      <c r="H250" s="8" t="n"/>
      <c r="I250" s="29">
        <f>I45-G45</f>
        <v/>
      </c>
      <c r="J250" s="30">
        <f>J45-I45</f>
        <v/>
      </c>
      <c r="K250" s="30">
        <f>K45-J45</f>
        <v/>
      </c>
      <c r="L250" s="30">
        <f>L45-K45</f>
        <v/>
      </c>
      <c r="M250" s="8" t="n"/>
      <c r="N250" s="29">
        <f>N45-L45</f>
        <v/>
      </c>
      <c r="O250" s="30">
        <f>O45-N45</f>
        <v/>
      </c>
      <c r="P250" s="30">
        <f>P45-O45</f>
        <v/>
      </c>
      <c r="Q250" s="30">
        <f>Q45-P45</f>
        <v/>
      </c>
      <c r="R250" s="8" t="n"/>
      <c r="S250" s="29">
        <f>S45-Q45</f>
        <v/>
      </c>
      <c r="T250" s="30">
        <f>T45-S45</f>
        <v/>
      </c>
      <c r="U250" s="30">
        <f>U45-T45</f>
        <v/>
      </c>
      <c r="V250" s="30">
        <f>V45-U45</f>
        <v/>
      </c>
      <c r="W250" s="8" t="n"/>
      <c r="X250" s="29">
        <f>X45-V45</f>
        <v/>
      </c>
    </row>
    <row r="251">
      <c r="A251" s="9" t="inlineStr">
        <is>
          <t>BRZE</t>
        </is>
      </c>
      <c r="D251" s="7" t="n"/>
      <c r="E251" s="30">
        <f>E46-D46</f>
        <v/>
      </c>
      <c r="F251" s="30">
        <f>F46-E46</f>
        <v/>
      </c>
      <c r="G251" s="30">
        <f>G46-F46</f>
        <v/>
      </c>
      <c r="H251" s="8" t="n"/>
      <c r="I251" s="29">
        <f>I46-G46</f>
        <v/>
      </c>
      <c r="J251" s="30">
        <f>J46-I46</f>
        <v/>
      </c>
      <c r="K251" s="30">
        <f>K46-J46</f>
        <v/>
      </c>
      <c r="L251" s="30">
        <f>L46-K46</f>
        <v/>
      </c>
      <c r="M251" s="8" t="n"/>
      <c r="N251" s="29">
        <f>N46-L46</f>
        <v/>
      </c>
      <c r="O251" s="30">
        <f>O46-N46</f>
        <v/>
      </c>
      <c r="P251" s="30">
        <f>P46-O46</f>
        <v/>
      </c>
      <c r="Q251" s="30">
        <f>Q46-P46</f>
        <v/>
      </c>
      <c r="R251" s="8" t="n"/>
      <c r="S251" s="29">
        <f>S46-Q46</f>
        <v/>
      </c>
      <c r="T251" s="30">
        <f>T46-S46</f>
        <v/>
      </c>
      <c r="U251" s="30">
        <f>U46-T46</f>
        <v/>
      </c>
      <c r="V251" s="30">
        <f>V46-U46</f>
        <v/>
      </c>
      <c r="W251" s="8" t="n"/>
      <c r="X251" s="29">
        <f>X46-V46</f>
        <v/>
      </c>
    </row>
    <row r="252">
      <c r="A252" s="9" t="inlineStr">
        <is>
          <t>CWAN</t>
        </is>
      </c>
      <c r="D252" s="7" t="n"/>
      <c r="E252" s="30">
        <f>E47-D47</f>
        <v/>
      </c>
      <c r="F252" s="30">
        <f>F47-E47</f>
        <v/>
      </c>
      <c r="G252" s="30">
        <f>G47-F47</f>
        <v/>
      </c>
      <c r="H252" s="8" t="n"/>
      <c r="I252" s="29">
        <f>I47-G47</f>
        <v/>
      </c>
      <c r="J252" s="30">
        <f>J47-I47</f>
        <v/>
      </c>
      <c r="K252" s="30">
        <f>K47-J47</f>
        <v/>
      </c>
      <c r="L252" s="30">
        <f>L47-K47</f>
        <v/>
      </c>
      <c r="M252" s="8" t="n"/>
      <c r="N252" s="29">
        <f>N47-L47</f>
        <v/>
      </c>
      <c r="O252" s="30">
        <f>O47-N47</f>
        <v/>
      </c>
      <c r="P252" s="30">
        <f>P47-O47</f>
        <v/>
      </c>
      <c r="Q252" s="30">
        <f>Q47-P47</f>
        <v/>
      </c>
      <c r="R252" s="8" t="n"/>
      <c r="S252" s="29">
        <f>S47-Q47</f>
        <v/>
      </c>
      <c r="T252" s="30">
        <f>T47-S47</f>
        <v/>
      </c>
      <c r="U252" s="30">
        <f>U47-T47</f>
        <v/>
      </c>
      <c r="V252" s="30">
        <f>V47-U47</f>
        <v/>
      </c>
      <c r="W252" s="8" t="n"/>
      <c r="X252" s="29">
        <f>X47-V47</f>
        <v/>
      </c>
    </row>
    <row r="253">
      <c r="A253" s="9" t="inlineStr">
        <is>
          <t>APPN</t>
        </is>
      </c>
      <c r="D253" s="7" t="n"/>
      <c r="E253" s="30">
        <f>E48-D48</f>
        <v/>
      </c>
      <c r="F253" s="30">
        <f>F48-E48</f>
        <v/>
      </c>
      <c r="G253" s="30">
        <f>G48-F48</f>
        <v/>
      </c>
      <c r="H253" s="8" t="n"/>
      <c r="I253" s="29">
        <f>I48-G48</f>
        <v/>
      </c>
      <c r="J253" s="30">
        <f>J48-I48</f>
        <v/>
      </c>
      <c r="K253" s="30">
        <f>K48-J48</f>
        <v/>
      </c>
      <c r="L253" s="30">
        <f>L48-K48</f>
        <v/>
      </c>
      <c r="M253" s="8" t="n"/>
      <c r="N253" s="29">
        <f>N48-L48</f>
        <v/>
      </c>
      <c r="O253" s="30">
        <f>O48-N48</f>
        <v/>
      </c>
      <c r="P253" s="30">
        <f>P48-O48</f>
        <v/>
      </c>
      <c r="Q253" s="30">
        <f>Q48-P48</f>
        <v/>
      </c>
      <c r="R253" s="8" t="n"/>
      <c r="S253" s="29">
        <f>S48-Q48</f>
        <v/>
      </c>
      <c r="T253" s="30">
        <f>T48-S48</f>
        <v/>
      </c>
      <c r="U253" s="30">
        <f>U48-T48</f>
        <v/>
      </c>
      <c r="V253" s="30">
        <f>V48-U48</f>
        <v/>
      </c>
      <c r="W253" s="8" t="n"/>
      <c r="X253" s="29">
        <f>X48-V48</f>
        <v/>
      </c>
    </row>
    <row r="254">
      <c r="A254" s="9" t="inlineStr">
        <is>
          <t>QLYS</t>
        </is>
      </c>
      <c r="D254" s="7" t="n"/>
      <c r="E254" s="30">
        <f>E49-D49</f>
        <v/>
      </c>
      <c r="F254" s="30">
        <f>F49-E49</f>
        <v/>
      </c>
      <c r="G254" s="30">
        <f>G49-F49</f>
        <v/>
      </c>
      <c r="H254" s="8" t="n"/>
      <c r="I254" s="29">
        <f>I49-G49</f>
        <v/>
      </c>
      <c r="J254" s="30">
        <f>J49-I49</f>
        <v/>
      </c>
      <c r="K254" s="30">
        <f>K49-J49</f>
        <v/>
      </c>
      <c r="L254" s="30">
        <f>L49-K49</f>
        <v/>
      </c>
      <c r="M254" s="8" t="n"/>
      <c r="N254" s="29">
        <f>N49-L49</f>
        <v/>
      </c>
      <c r="O254" s="30">
        <f>O49-N49</f>
        <v/>
      </c>
      <c r="P254" s="30">
        <f>P49-O49</f>
        <v/>
      </c>
      <c r="Q254" s="30">
        <f>Q49-P49</f>
        <v/>
      </c>
      <c r="R254" s="8" t="n"/>
      <c r="S254" s="29">
        <f>S49-Q49</f>
        <v/>
      </c>
      <c r="T254" s="30">
        <f>T49-S49</f>
        <v/>
      </c>
      <c r="U254" s="30">
        <f>U49-T49</f>
        <v/>
      </c>
      <c r="V254" s="30">
        <f>V49-U49</f>
        <v/>
      </c>
      <c r="W254" s="8" t="n"/>
      <c r="X254" s="29">
        <f>X49-V49</f>
        <v/>
      </c>
    </row>
    <row r="255">
      <c r="A255" s="9" t="inlineStr">
        <is>
          <t>NCNO</t>
        </is>
      </c>
      <c r="D255" s="7" t="n"/>
      <c r="E255" s="30">
        <f>E50-D50</f>
        <v/>
      </c>
      <c r="F255" s="30">
        <f>F50-E50</f>
        <v/>
      </c>
      <c r="G255" s="30">
        <f>G50-F50</f>
        <v/>
      </c>
      <c r="H255" s="8" t="n"/>
      <c r="I255" s="29">
        <f>I50-G50</f>
        <v/>
      </c>
      <c r="J255" s="30">
        <f>J50-I50</f>
        <v/>
      </c>
      <c r="K255" s="30">
        <f>K50-J50</f>
        <v/>
      </c>
      <c r="L255" s="30">
        <f>L50-K50</f>
        <v/>
      </c>
      <c r="M255" s="8" t="n"/>
      <c r="N255" s="29">
        <f>N50-L50</f>
        <v/>
      </c>
      <c r="O255" s="30">
        <f>O50-N50</f>
        <v/>
      </c>
      <c r="P255" s="30">
        <f>P50-O50</f>
        <v/>
      </c>
      <c r="Q255" s="30">
        <f>Q50-P50</f>
        <v/>
      </c>
      <c r="R255" s="8" t="n"/>
      <c r="S255" s="29">
        <f>S50-Q50</f>
        <v/>
      </c>
      <c r="T255" s="30">
        <f>T50-S50</f>
        <v/>
      </c>
      <c r="U255" s="30">
        <f>U50-T50</f>
        <v/>
      </c>
      <c r="V255" s="30">
        <f>V50-U50</f>
        <v/>
      </c>
      <c r="W255" s="8" t="n"/>
      <c r="X255" s="29">
        <f>X50-V50</f>
        <v/>
      </c>
    </row>
    <row r="256">
      <c r="A256" s="9" t="inlineStr">
        <is>
          <t>FROG</t>
        </is>
      </c>
      <c r="D256" s="7" t="n"/>
      <c r="E256" s="30">
        <f>E51-D51</f>
        <v/>
      </c>
      <c r="F256" s="30">
        <f>F51-E51</f>
        <v/>
      </c>
      <c r="G256" s="30">
        <f>G51-F51</f>
        <v/>
      </c>
      <c r="H256" s="8" t="n"/>
      <c r="I256" s="29">
        <f>I51-G51</f>
        <v/>
      </c>
      <c r="J256" s="30">
        <f>J51-I51</f>
        <v/>
      </c>
      <c r="K256" s="30">
        <f>K51-J51</f>
        <v/>
      </c>
      <c r="L256" s="30">
        <f>L51-K51</f>
        <v/>
      </c>
      <c r="M256" s="8" t="n"/>
      <c r="N256" s="29">
        <f>N51-L51</f>
        <v/>
      </c>
      <c r="O256" s="30">
        <f>O51-N51</f>
        <v/>
      </c>
      <c r="P256" s="30">
        <f>P51-O51</f>
        <v/>
      </c>
      <c r="Q256" s="30">
        <f>Q51-P51</f>
        <v/>
      </c>
      <c r="R256" s="8" t="n"/>
      <c r="S256" s="29">
        <f>S51-Q51</f>
        <v/>
      </c>
      <c r="T256" s="30">
        <f>T51-S51</f>
        <v/>
      </c>
      <c r="U256" s="30">
        <f>U51-T51</f>
        <v/>
      </c>
      <c r="V256" s="30">
        <f>V51-U51</f>
        <v/>
      </c>
      <c r="W256" s="8" t="n"/>
      <c r="X256" s="29">
        <f>X51-V51</f>
        <v/>
      </c>
    </row>
    <row r="257">
      <c r="A257" s="17" t="inlineStr">
        <is>
          <t>Total Revenue</t>
        </is>
      </c>
      <c r="B257" s="18" t="n"/>
      <c r="C257" s="18" t="n"/>
      <c r="D257" s="24" t="n"/>
      <c r="E257" s="20">
        <f>E52-D52</f>
        <v/>
      </c>
      <c r="F257" s="20">
        <f>F52-E52</f>
        <v/>
      </c>
      <c r="G257" s="20">
        <f>G52-F52</f>
        <v/>
      </c>
      <c r="H257" s="25" t="n"/>
      <c r="I257" s="19">
        <f>I52-G52</f>
        <v/>
      </c>
      <c r="J257" s="20">
        <f>J52-I52</f>
        <v/>
      </c>
      <c r="K257" s="20">
        <f>K52-J52</f>
        <v/>
      </c>
      <c r="L257" s="20">
        <f>L52-K52</f>
        <v/>
      </c>
      <c r="M257" s="25" t="n"/>
      <c r="N257" s="19">
        <f>N52-L52</f>
        <v/>
      </c>
      <c r="O257" s="20">
        <f>O52-N52</f>
        <v/>
      </c>
      <c r="P257" s="20">
        <f>P52-O52</f>
        <v/>
      </c>
      <c r="Q257" s="20">
        <f>Q52-P52</f>
        <v/>
      </c>
      <c r="R257" s="25" t="n"/>
      <c r="S257" s="19">
        <f>S52-Q52</f>
        <v/>
      </c>
      <c r="T257" s="20">
        <f>T52-S52</f>
        <v/>
      </c>
      <c r="U257" s="20">
        <f>U52-T52</f>
        <v/>
      </c>
      <c r="V257" s="20">
        <f>V52-U52</f>
        <v/>
      </c>
      <c r="W257" s="25" t="n"/>
      <c r="X257" s="19">
        <f>X52-V52</f>
        <v/>
      </c>
    </row>
    <row r="258">
      <c r="D258" s="7" t="n"/>
      <c r="H258" s="8" t="n"/>
      <c r="I258" s="7" t="n"/>
      <c r="M258" s="8" t="n"/>
      <c r="N258" s="7" t="n"/>
      <c r="R258" s="8" t="n"/>
      <c r="S258" s="7" t="n"/>
      <c r="W258" s="8" t="n"/>
      <c r="X258" s="7" t="n"/>
    </row>
    <row r="259">
      <c r="A259" s="3" t="inlineStr">
        <is>
          <t>Consensus Revenue ($M)</t>
        </is>
      </c>
      <c r="D259" s="7" t="n"/>
      <c r="H259" s="8" t="n"/>
      <c r="I259" s="7" t="n"/>
      <c r="M259" s="8" t="n"/>
      <c r="N259" s="7" t="n"/>
      <c r="R259" s="8" t="n"/>
      <c r="S259" s="7" t="n"/>
      <c r="W259" s="8" t="n"/>
      <c r="X259" s="7" t="n"/>
    </row>
    <row r="260">
      <c r="A260" s="9" t="inlineStr">
        <is>
          <t>ADBE</t>
        </is>
      </c>
      <c r="B260" s="10" t="n">
        <v>0.0144</v>
      </c>
      <c r="C260" s="9" t="inlineStr">
        <is>
          <t>STABLE</t>
        </is>
      </c>
      <c r="D260" s="7" t="n"/>
      <c r="H260" s="13">
        <f>'ADBE'!H15</f>
        <v/>
      </c>
      <c r="I260" s="7" t="n"/>
      <c r="M260" s="13">
        <f>'ADBE'!M15</f>
        <v/>
      </c>
      <c r="N260" s="7" t="n"/>
      <c r="O260" s="12">
        <f>'ADBE'!O15</f>
        <v/>
      </c>
      <c r="P260" s="12">
        <f>'ADBE'!P15</f>
        <v/>
      </c>
      <c r="Q260" s="12">
        <f>'ADBE'!Q15</f>
        <v/>
      </c>
      <c r="R260" s="13">
        <f>'ADBE'!R15</f>
        <v/>
      </c>
      <c r="S260" s="11">
        <f>'ADBE'!S15</f>
        <v/>
      </c>
      <c r="T260" s="12">
        <f>'ADBE'!T15</f>
        <v/>
      </c>
      <c r="U260" s="12">
        <f>'ADBE'!U15</f>
        <v/>
      </c>
      <c r="V260" s="12">
        <f>'ADBE'!V15</f>
        <v/>
      </c>
      <c r="W260" s="13">
        <f>'ADBE'!W15</f>
        <v/>
      </c>
      <c r="X260" s="7" t="n"/>
    </row>
    <row r="261">
      <c r="A261" s="9" t="inlineStr">
        <is>
          <t>INTU</t>
        </is>
      </c>
      <c r="B261" s="10" t="n">
        <v>0.0271</v>
      </c>
      <c r="C261" s="15" t="inlineStr">
        <is>
          <t>ACCELERATING</t>
        </is>
      </c>
      <c r="D261" s="7" t="n"/>
      <c r="H261" s="13">
        <f>'INTU'!H15</f>
        <v/>
      </c>
      <c r="I261" s="7" t="n"/>
      <c r="M261" s="13">
        <f>'INTU'!M15</f>
        <v/>
      </c>
      <c r="N261" s="7" t="n"/>
      <c r="O261" s="12">
        <f>'INTU'!O15</f>
        <v/>
      </c>
      <c r="P261" s="12">
        <f>'INTU'!P15</f>
        <v/>
      </c>
      <c r="Q261" s="12">
        <f>'INTU'!Q15</f>
        <v/>
      </c>
      <c r="R261" s="13">
        <f>'INTU'!R15</f>
        <v/>
      </c>
      <c r="S261" s="11">
        <f>'INTU'!S15</f>
        <v/>
      </c>
      <c r="T261" s="12">
        <f>'INTU'!T15</f>
        <v/>
      </c>
      <c r="U261" s="12">
        <f>'INTU'!U15</f>
        <v/>
      </c>
      <c r="V261" s="12">
        <f>'INTU'!V15</f>
        <v/>
      </c>
      <c r="W261" s="13">
        <f>'INTU'!W15</f>
        <v/>
      </c>
      <c r="X261" s="11">
        <f>'INTU'!X15</f>
        <v/>
      </c>
    </row>
    <row r="262">
      <c r="A262" s="9" t="inlineStr">
        <is>
          <t>NOW</t>
        </is>
      </c>
      <c r="B262" s="10" t="n">
        <v>0.0111</v>
      </c>
      <c r="C262" s="9" t="inlineStr">
        <is>
          <t>STABLE</t>
        </is>
      </c>
      <c r="D262" s="7" t="n"/>
      <c r="H262" s="13">
        <f>'NOW'!H15</f>
        <v/>
      </c>
      <c r="I262" s="7" t="n"/>
      <c r="M262" s="13">
        <f>'NOW'!M15</f>
        <v/>
      </c>
      <c r="N262" s="11">
        <f>'NOW'!N15</f>
        <v/>
      </c>
      <c r="O262" s="12">
        <f>'NOW'!O15</f>
        <v/>
      </c>
      <c r="P262" s="12">
        <f>'NOW'!P15</f>
        <v/>
      </c>
      <c r="Q262" s="12">
        <f>'NOW'!Q15</f>
        <v/>
      </c>
      <c r="R262" s="13">
        <f>'NOW'!R15</f>
        <v/>
      </c>
      <c r="S262" s="11">
        <f>'NOW'!S15</f>
        <v/>
      </c>
      <c r="T262" s="12">
        <f>'NOW'!T15</f>
        <v/>
      </c>
      <c r="U262" s="12">
        <f>'NOW'!U15</f>
        <v/>
      </c>
      <c r="V262" s="12">
        <f>'NOW'!V15</f>
        <v/>
      </c>
      <c r="W262" s="13">
        <f>'NOW'!W15</f>
        <v/>
      </c>
      <c r="X262" s="7" t="n"/>
    </row>
    <row r="263">
      <c r="A263" s="9" t="inlineStr">
        <is>
          <t>PANW</t>
        </is>
      </c>
      <c r="B263" s="10" t="n">
        <v>0.0077</v>
      </c>
      <c r="C263" s="9" t="inlineStr">
        <is>
          <t>STABLE</t>
        </is>
      </c>
      <c r="D263" s="7" t="n"/>
      <c r="H263" s="13">
        <f>'PANW'!H15</f>
        <v/>
      </c>
      <c r="I263" s="7" t="n"/>
      <c r="M263" s="13">
        <f>'PANW'!M15</f>
        <v/>
      </c>
      <c r="N263" s="7" t="n"/>
      <c r="O263" s="12">
        <f>'PANW'!O15</f>
        <v/>
      </c>
      <c r="P263" s="12">
        <f>'PANW'!P15</f>
        <v/>
      </c>
      <c r="Q263" s="12">
        <f>'PANW'!Q15</f>
        <v/>
      </c>
      <c r="R263" s="13">
        <f>'PANW'!R15</f>
        <v/>
      </c>
      <c r="S263" s="11">
        <f>'PANW'!S15</f>
        <v/>
      </c>
      <c r="T263" s="12">
        <f>'PANW'!T15</f>
        <v/>
      </c>
      <c r="U263" s="12">
        <f>'PANW'!U15</f>
        <v/>
      </c>
      <c r="V263" s="12">
        <f>'PANW'!V15</f>
        <v/>
      </c>
      <c r="W263" s="13">
        <f>'PANW'!W15</f>
        <v/>
      </c>
      <c r="X263" s="11">
        <f>'PANW'!X15</f>
        <v/>
      </c>
    </row>
    <row r="264">
      <c r="A264" s="9" t="inlineStr">
        <is>
          <t>WDAY</t>
        </is>
      </c>
      <c r="B264" s="10" t="n">
        <v>0.0046</v>
      </c>
      <c r="C264" s="9" t="inlineStr">
        <is>
          <t>STABLE</t>
        </is>
      </c>
      <c r="D264" s="7" t="n"/>
      <c r="H264" s="13">
        <f>'WDAY'!H15</f>
        <v/>
      </c>
      <c r="I264" s="7" t="n"/>
      <c r="M264" s="13">
        <f>'WDAY'!M15</f>
        <v/>
      </c>
      <c r="N264" s="7" t="n"/>
      <c r="O264" s="12">
        <f>'WDAY'!O15</f>
        <v/>
      </c>
      <c r="P264" s="12">
        <f>'WDAY'!P15</f>
        <v/>
      </c>
      <c r="Q264" s="12">
        <f>'WDAY'!Q15</f>
        <v/>
      </c>
      <c r="R264" s="13">
        <f>'WDAY'!R15</f>
        <v/>
      </c>
      <c r="S264" s="11">
        <f>'WDAY'!S15</f>
        <v/>
      </c>
      <c r="T264" s="12">
        <f>'WDAY'!T15</f>
        <v/>
      </c>
      <c r="U264" s="12">
        <f>'WDAY'!U15</f>
        <v/>
      </c>
      <c r="V264" s="12">
        <f>'WDAY'!V15</f>
        <v/>
      </c>
      <c r="W264" s="13">
        <f>'WDAY'!W15</f>
        <v/>
      </c>
      <c r="X264" s="11">
        <f>'WDAY'!X15</f>
        <v/>
      </c>
    </row>
    <row r="265">
      <c r="A265" s="9" t="inlineStr">
        <is>
          <t>SNPS</t>
        </is>
      </c>
      <c r="B265" s="10" t="n">
        <v>0.002</v>
      </c>
      <c r="C265" s="9" t="inlineStr">
        <is>
          <t>STABLE</t>
        </is>
      </c>
      <c r="D265" s="7" t="n"/>
      <c r="H265" s="13">
        <f>'SNPS'!H15</f>
        <v/>
      </c>
      <c r="I265" s="7" t="n"/>
      <c r="M265" s="13">
        <f>'SNPS'!M15</f>
        <v/>
      </c>
      <c r="N265" s="7" t="n"/>
      <c r="O265" s="12">
        <f>'SNPS'!O15</f>
        <v/>
      </c>
      <c r="P265" s="12">
        <f>'SNPS'!P15</f>
        <v/>
      </c>
      <c r="Q265" s="12">
        <f>'SNPS'!Q15</f>
        <v/>
      </c>
      <c r="R265" s="13">
        <f>'SNPS'!R15</f>
        <v/>
      </c>
      <c r="S265" s="11">
        <f>'SNPS'!S15</f>
        <v/>
      </c>
      <c r="T265" s="12">
        <f>'SNPS'!T15</f>
        <v/>
      </c>
      <c r="U265" s="12">
        <f>'SNPS'!U15</f>
        <v/>
      </c>
      <c r="V265" s="12">
        <f>'SNPS'!V15</f>
        <v/>
      </c>
      <c r="W265" s="13">
        <f>'SNPS'!W15</f>
        <v/>
      </c>
      <c r="X265" s="11">
        <f>'SNPS'!X15</f>
        <v/>
      </c>
    </row>
    <row r="266">
      <c r="A266" s="9" t="inlineStr">
        <is>
          <t>ROP</t>
        </is>
      </c>
      <c r="B266" s="10" t="n">
        <v>-0.0012</v>
      </c>
      <c r="C266" s="9" t="inlineStr">
        <is>
          <t>STABLE</t>
        </is>
      </c>
      <c r="D266" s="7" t="n"/>
      <c r="H266" s="13">
        <f>'ROP'!H15</f>
        <v/>
      </c>
      <c r="I266" s="7" t="n"/>
      <c r="M266" s="13">
        <f>'ROP'!M15</f>
        <v/>
      </c>
      <c r="N266" s="11">
        <f>'ROP'!N15</f>
        <v/>
      </c>
      <c r="O266" s="12">
        <f>'ROP'!O15</f>
        <v/>
      </c>
      <c r="P266" s="12">
        <f>'ROP'!P15</f>
        <v/>
      </c>
      <c r="Q266" s="12">
        <f>'ROP'!Q15</f>
        <v/>
      </c>
      <c r="R266" s="13">
        <f>'ROP'!R15</f>
        <v/>
      </c>
      <c r="S266" s="11">
        <f>'ROP'!S15</f>
        <v/>
      </c>
      <c r="T266" s="12">
        <f>'ROP'!T15</f>
        <v/>
      </c>
      <c r="U266" s="12">
        <f>'ROP'!U15</f>
        <v/>
      </c>
      <c r="V266" s="12">
        <f>'ROP'!V15</f>
        <v/>
      </c>
      <c r="W266" s="13">
        <f>'ROP'!W15</f>
        <v/>
      </c>
      <c r="X266" s="7" t="n"/>
    </row>
    <row r="267">
      <c r="A267" s="9" t="inlineStr">
        <is>
          <t>ADSK</t>
        </is>
      </c>
      <c r="B267" s="10" t="n">
        <v>0.0204</v>
      </c>
      <c r="C267" s="9" t="inlineStr">
        <is>
          <t>STABLE</t>
        </is>
      </c>
      <c r="D267" s="7" t="n"/>
      <c r="H267" s="13">
        <f>'ADSK'!H15</f>
        <v/>
      </c>
      <c r="I267" s="7" t="n"/>
      <c r="M267" s="13">
        <f>'ADSK'!M15</f>
        <v/>
      </c>
      <c r="N267" s="7" t="n"/>
      <c r="O267" s="12">
        <f>'ADSK'!O15</f>
        <v/>
      </c>
      <c r="P267" s="12">
        <f>'ADSK'!P15</f>
        <v/>
      </c>
      <c r="Q267" s="12">
        <f>'ADSK'!Q15</f>
        <v/>
      </c>
      <c r="R267" s="13">
        <f>'ADSK'!R15</f>
        <v/>
      </c>
      <c r="S267" s="11">
        <f>'ADSK'!S15</f>
        <v/>
      </c>
      <c r="T267" s="12">
        <f>'ADSK'!T15</f>
        <v/>
      </c>
      <c r="U267" s="12">
        <f>'ADSK'!U15</f>
        <v/>
      </c>
      <c r="V267" s="12">
        <f>'ADSK'!V15</f>
        <v/>
      </c>
      <c r="W267" s="13">
        <f>'ADSK'!W15</f>
        <v/>
      </c>
      <c r="X267" s="11">
        <f>'ADSK'!X15</f>
        <v/>
      </c>
    </row>
    <row r="268">
      <c r="A268" s="9" t="inlineStr">
        <is>
          <t>FTNT</t>
        </is>
      </c>
      <c r="B268" s="10" t="n">
        <v>0.0101</v>
      </c>
      <c r="C268" s="15" t="inlineStr">
        <is>
          <t>ACCELERATING</t>
        </is>
      </c>
      <c r="D268" s="7" t="n"/>
      <c r="H268" s="13">
        <f>'FTNT'!H15</f>
        <v/>
      </c>
      <c r="I268" s="7" t="n"/>
      <c r="M268" s="13">
        <f>'FTNT'!M15</f>
        <v/>
      </c>
      <c r="N268" s="11">
        <f>'FTNT'!N15</f>
        <v/>
      </c>
      <c r="O268" s="12">
        <f>'FTNT'!O15</f>
        <v/>
      </c>
      <c r="P268" s="12">
        <f>'FTNT'!P15</f>
        <v/>
      </c>
      <c r="Q268" s="12">
        <f>'FTNT'!Q15</f>
        <v/>
      </c>
      <c r="R268" s="13">
        <f>'FTNT'!R15</f>
        <v/>
      </c>
      <c r="S268" s="11">
        <f>'FTNT'!S15</f>
        <v/>
      </c>
      <c r="T268" s="12">
        <f>'FTNT'!T15</f>
        <v/>
      </c>
      <c r="U268" s="12">
        <f>'FTNT'!U15</f>
        <v/>
      </c>
      <c r="V268" s="12">
        <f>'FTNT'!V15</f>
        <v/>
      </c>
      <c r="W268" s="13">
        <f>'FTNT'!W15</f>
        <v/>
      </c>
      <c r="X268" s="7" t="n"/>
    </row>
    <row r="269">
      <c r="A269" s="9" t="inlineStr">
        <is>
          <t>TOST</t>
        </is>
      </c>
      <c r="B269" s="10" t="n">
        <v>0.0156</v>
      </c>
      <c r="C269" s="16" t="inlineStr">
        <is>
          <t>DECELERATING</t>
        </is>
      </c>
      <c r="D269" s="7" t="n"/>
      <c r="H269" s="13">
        <f>'TOST'!H15</f>
        <v/>
      </c>
      <c r="I269" s="7" t="n"/>
      <c r="M269" s="13">
        <f>'TOST'!M15</f>
        <v/>
      </c>
      <c r="N269" s="11">
        <f>'TOST'!N15</f>
        <v/>
      </c>
      <c r="O269" s="12">
        <f>'TOST'!O15</f>
        <v/>
      </c>
      <c r="P269" s="12">
        <f>'TOST'!P15</f>
        <v/>
      </c>
      <c r="Q269" s="12">
        <f>'TOST'!Q15</f>
        <v/>
      </c>
      <c r="R269" s="13">
        <f>'TOST'!R15</f>
        <v/>
      </c>
      <c r="S269" s="11">
        <f>'TOST'!S15</f>
        <v/>
      </c>
      <c r="T269" s="12">
        <f>'TOST'!T15</f>
        <v/>
      </c>
      <c r="U269" s="12">
        <f>'TOST'!U15</f>
        <v/>
      </c>
      <c r="V269" s="12">
        <f>'TOST'!V15</f>
        <v/>
      </c>
      <c r="W269" s="13">
        <f>'TOST'!W15</f>
        <v/>
      </c>
      <c r="X269" s="7" t="n"/>
    </row>
    <row r="270">
      <c r="A270" s="9" t="inlineStr">
        <is>
          <t>TEAM</t>
        </is>
      </c>
      <c r="B270" s="10" t="n">
        <v>0.0159</v>
      </c>
      <c r="C270" s="15" t="inlineStr">
        <is>
          <t>ACCELERATING</t>
        </is>
      </c>
      <c r="D270" s="7" t="n"/>
      <c r="H270" s="13">
        <f>'TEAM'!H15</f>
        <v/>
      </c>
      <c r="I270" s="7" t="n"/>
      <c r="M270" s="13">
        <f>'TEAM'!M15</f>
        <v/>
      </c>
      <c r="N270" s="11">
        <f>'TEAM'!N15</f>
        <v/>
      </c>
      <c r="O270" s="12">
        <f>'TEAM'!O15</f>
        <v/>
      </c>
      <c r="P270" s="12">
        <f>'TEAM'!P15</f>
        <v/>
      </c>
      <c r="Q270" s="12">
        <f>'TEAM'!Q15</f>
        <v/>
      </c>
      <c r="R270" s="13">
        <f>'TEAM'!R15</f>
        <v/>
      </c>
      <c r="S270" s="11">
        <f>'TEAM'!S15</f>
        <v/>
      </c>
      <c r="T270" s="12">
        <f>'TEAM'!T15</f>
        <v/>
      </c>
      <c r="U270" s="12">
        <f>'TEAM'!U15</f>
        <v/>
      </c>
      <c r="V270" s="12">
        <f>'TEAM'!V15</f>
        <v/>
      </c>
      <c r="W270" s="13">
        <f>'TEAM'!W15</f>
        <v/>
      </c>
      <c r="X270" s="7" t="n"/>
    </row>
    <row r="271">
      <c r="A271" s="9" t="inlineStr">
        <is>
          <t>APP</t>
        </is>
      </c>
      <c r="B271" s="10" t="n">
        <v>0.0445</v>
      </c>
      <c r="C271" s="9" t="inlineStr">
        <is>
          <t>STABLE</t>
        </is>
      </c>
      <c r="D271" s="7" t="n"/>
      <c r="H271" s="13">
        <f>'APP'!H15</f>
        <v/>
      </c>
      <c r="I271" s="7" t="n"/>
      <c r="M271" s="13">
        <f>'APP'!M15</f>
        <v/>
      </c>
      <c r="N271" s="11">
        <f>'APP'!N15</f>
        <v/>
      </c>
      <c r="O271" s="12">
        <f>'APP'!O15</f>
        <v/>
      </c>
      <c r="P271" s="12">
        <f>'APP'!P15</f>
        <v/>
      </c>
      <c r="Q271" s="12">
        <f>'APP'!Q15</f>
        <v/>
      </c>
      <c r="R271" s="13">
        <f>'APP'!R15</f>
        <v/>
      </c>
      <c r="S271" s="11">
        <f>'APP'!S15</f>
        <v/>
      </c>
      <c r="T271" s="12">
        <f>'APP'!T15</f>
        <v/>
      </c>
      <c r="U271" s="12">
        <f>'APP'!U15</f>
        <v/>
      </c>
      <c r="V271" s="12">
        <f>'APP'!V15</f>
        <v/>
      </c>
      <c r="W271" s="13">
        <f>'APP'!W15</f>
        <v/>
      </c>
      <c r="X271" s="7" t="n"/>
    </row>
    <row r="272">
      <c r="A272" s="9" t="inlineStr">
        <is>
          <t>CDNS</t>
        </is>
      </c>
      <c r="B272" s="10" t="n">
        <v>0.0115</v>
      </c>
      <c r="C272" s="15" t="inlineStr">
        <is>
          <t>ACCELERATING</t>
        </is>
      </c>
      <c r="D272" s="7" t="n"/>
      <c r="H272" s="13">
        <f>'CDNS'!H15</f>
        <v/>
      </c>
      <c r="I272" s="7" t="n"/>
      <c r="M272" s="13">
        <f>'CDNS'!M15</f>
        <v/>
      </c>
      <c r="N272" s="11">
        <f>'CDNS'!N15</f>
        <v/>
      </c>
      <c r="O272" s="12">
        <f>'CDNS'!O15</f>
        <v/>
      </c>
      <c r="P272" s="12">
        <f>'CDNS'!P15</f>
        <v/>
      </c>
      <c r="Q272" s="12">
        <f>'CDNS'!Q15</f>
        <v/>
      </c>
      <c r="R272" s="13">
        <f>'CDNS'!R15</f>
        <v/>
      </c>
      <c r="S272" s="11">
        <f>'CDNS'!S15</f>
        <v/>
      </c>
      <c r="T272" s="12">
        <f>'CDNS'!T15</f>
        <v/>
      </c>
      <c r="U272" s="12">
        <f>'CDNS'!U15</f>
        <v/>
      </c>
      <c r="V272" s="12">
        <f>'CDNS'!V15</f>
        <v/>
      </c>
      <c r="W272" s="13">
        <f>'CDNS'!W15</f>
        <v/>
      </c>
      <c r="X272" s="7" t="n"/>
    </row>
    <row r="273">
      <c r="A273" s="9" t="inlineStr">
        <is>
          <t>CRWD</t>
        </is>
      </c>
      <c r="B273" s="10" t="n">
        <v>0.009399999999999999</v>
      </c>
      <c r="C273" s="9" t="inlineStr">
        <is>
          <t>STABLE</t>
        </is>
      </c>
      <c r="D273" s="7" t="n"/>
      <c r="H273" s="13">
        <f>'CRWD'!H15</f>
        <v/>
      </c>
      <c r="I273" s="7" t="n"/>
      <c r="M273" s="13">
        <f>'CRWD'!M15</f>
        <v/>
      </c>
      <c r="N273" s="7" t="n"/>
      <c r="O273" s="12">
        <f>'CRWD'!O15</f>
        <v/>
      </c>
      <c r="P273" s="12">
        <f>'CRWD'!P15</f>
        <v/>
      </c>
      <c r="Q273" s="12">
        <f>'CRWD'!Q15</f>
        <v/>
      </c>
      <c r="R273" s="13">
        <f>'CRWD'!R15</f>
        <v/>
      </c>
      <c r="S273" s="11">
        <f>'CRWD'!S15</f>
        <v/>
      </c>
      <c r="T273" s="12">
        <f>'CRWD'!T15</f>
        <v/>
      </c>
      <c r="U273" s="12">
        <f>'CRWD'!U15</f>
        <v/>
      </c>
      <c r="V273" s="12">
        <f>'CRWD'!V15</f>
        <v/>
      </c>
      <c r="W273" s="13">
        <f>'CRWD'!W15</f>
        <v/>
      </c>
      <c r="X273" s="11">
        <f>'CRWD'!X15</f>
        <v/>
      </c>
    </row>
    <row r="274">
      <c r="A274" s="9" t="inlineStr">
        <is>
          <t>SNOW</t>
        </is>
      </c>
      <c r="B274" s="10" t="n">
        <v>0.0352</v>
      </c>
      <c r="C274" s="9" t="inlineStr">
        <is>
          <t>STABLE</t>
        </is>
      </c>
      <c r="D274" s="7" t="n"/>
      <c r="H274" s="13">
        <f>'SNOW'!H15</f>
        <v/>
      </c>
      <c r="I274" s="7" t="n"/>
      <c r="M274" s="13">
        <f>'SNOW'!M15</f>
        <v/>
      </c>
      <c r="N274" s="7" t="n"/>
      <c r="O274" s="12">
        <f>'SNOW'!O15</f>
        <v/>
      </c>
      <c r="P274" s="12">
        <f>'SNOW'!P15</f>
        <v/>
      </c>
      <c r="Q274" s="12">
        <f>'SNOW'!Q15</f>
        <v/>
      </c>
      <c r="R274" s="13">
        <f>'SNOW'!R15</f>
        <v/>
      </c>
      <c r="S274" s="11">
        <f>'SNOW'!S15</f>
        <v/>
      </c>
      <c r="T274" s="12">
        <f>'SNOW'!T15</f>
        <v/>
      </c>
      <c r="U274" s="12">
        <f>'SNOW'!U15</f>
        <v/>
      </c>
      <c r="V274" s="12">
        <f>'SNOW'!V15</f>
        <v/>
      </c>
      <c r="W274" s="13">
        <f>'SNOW'!W15</f>
        <v/>
      </c>
      <c r="X274" s="11">
        <f>'SNOW'!X15</f>
        <v/>
      </c>
    </row>
    <row r="275">
      <c r="A275" s="9" t="inlineStr">
        <is>
          <t>PLTR</t>
        </is>
      </c>
      <c r="B275" s="10" t="n">
        <v>0.0566</v>
      </c>
      <c r="C275" s="15" t="inlineStr">
        <is>
          <t>ACCELERATING</t>
        </is>
      </c>
      <c r="D275" s="7" t="n"/>
      <c r="H275" s="13">
        <f>'PLTR'!H15</f>
        <v/>
      </c>
      <c r="I275" s="7" t="n"/>
      <c r="M275" s="13">
        <f>'PLTR'!M15</f>
        <v/>
      </c>
      <c r="N275" s="11">
        <f>'PLTR'!N15</f>
        <v/>
      </c>
      <c r="O275" s="12">
        <f>'PLTR'!O15</f>
        <v/>
      </c>
      <c r="P275" s="12">
        <f>'PLTR'!P15</f>
        <v/>
      </c>
      <c r="Q275" s="12">
        <f>'PLTR'!Q15</f>
        <v/>
      </c>
      <c r="R275" s="13">
        <f>'PLTR'!R15</f>
        <v/>
      </c>
      <c r="S275" s="11">
        <f>'PLTR'!S15</f>
        <v/>
      </c>
      <c r="T275" s="12">
        <f>'PLTR'!T15</f>
        <v/>
      </c>
      <c r="U275" s="12">
        <f>'PLTR'!U15</f>
        <v/>
      </c>
      <c r="V275" s="12">
        <f>'PLTR'!V15</f>
        <v/>
      </c>
      <c r="W275" s="13">
        <f>'PLTR'!W15</f>
        <v/>
      </c>
      <c r="X275" s="7" t="n"/>
    </row>
    <row r="276">
      <c r="A276" s="9" t="inlineStr">
        <is>
          <t>DDOG</t>
        </is>
      </c>
      <c r="B276" s="10" t="n">
        <v>0.0349</v>
      </c>
      <c r="C276" s="9" t="inlineStr">
        <is>
          <t>STABLE</t>
        </is>
      </c>
      <c r="D276" s="7" t="n"/>
      <c r="H276" s="13">
        <f>'DDOG'!H15</f>
        <v/>
      </c>
      <c r="I276" s="7" t="n"/>
      <c r="M276" s="13">
        <f>'DDOG'!M15</f>
        <v/>
      </c>
      <c r="N276" s="11">
        <f>'DDOG'!N15</f>
        <v/>
      </c>
      <c r="O276" s="12">
        <f>'DDOG'!O15</f>
        <v/>
      </c>
      <c r="P276" s="12">
        <f>'DDOG'!P15</f>
        <v/>
      </c>
      <c r="Q276" s="12">
        <f>'DDOG'!Q15</f>
        <v/>
      </c>
      <c r="R276" s="13">
        <f>'DDOG'!R15</f>
        <v/>
      </c>
      <c r="S276" s="11">
        <f>'DDOG'!S15</f>
        <v/>
      </c>
      <c r="T276" s="12">
        <f>'DDOG'!T15</f>
        <v/>
      </c>
      <c r="U276" s="12">
        <f>'DDOG'!U15</f>
        <v/>
      </c>
      <c r="V276" s="12">
        <f>'DDOG'!V15</f>
        <v/>
      </c>
      <c r="W276" s="13">
        <f>'DDOG'!W15</f>
        <v/>
      </c>
      <c r="X276" s="7" t="n"/>
    </row>
    <row r="277">
      <c r="A277" s="9" t="inlineStr">
        <is>
          <t>VEEV</t>
        </is>
      </c>
      <c r="B277" s="10" t="n">
        <v>0.0281</v>
      </c>
      <c r="C277" s="9" t="inlineStr">
        <is>
          <t>STABLE</t>
        </is>
      </c>
      <c r="D277" s="7" t="n"/>
      <c r="H277" s="13">
        <f>'VEEV'!H15</f>
        <v/>
      </c>
      <c r="I277" s="7" t="n"/>
      <c r="M277" s="13">
        <f>'VEEV'!M15</f>
        <v/>
      </c>
      <c r="N277" s="7" t="n"/>
      <c r="O277" s="12">
        <f>'VEEV'!O15</f>
        <v/>
      </c>
      <c r="P277" s="12">
        <f>'VEEV'!P15</f>
        <v/>
      </c>
      <c r="Q277" s="12">
        <f>'VEEV'!Q15</f>
        <v/>
      </c>
      <c r="R277" s="13">
        <f>'VEEV'!R15</f>
        <v/>
      </c>
      <c r="S277" s="11">
        <f>'VEEV'!S15</f>
        <v/>
      </c>
      <c r="T277" s="12">
        <f>'VEEV'!T15</f>
        <v/>
      </c>
      <c r="U277" s="12">
        <f>'VEEV'!U15</f>
        <v/>
      </c>
      <c r="V277" s="12">
        <f>'VEEV'!V15</f>
        <v/>
      </c>
      <c r="W277" s="13">
        <f>'VEEV'!W15</f>
        <v/>
      </c>
      <c r="X277" s="11">
        <f>'VEEV'!X15</f>
        <v/>
      </c>
    </row>
    <row r="278">
      <c r="A278" s="9" t="inlineStr">
        <is>
          <t>HUBS</t>
        </is>
      </c>
      <c r="B278" s="10" t="n">
        <v>0.0238</v>
      </c>
      <c r="C278" s="9" t="inlineStr">
        <is>
          <t>STABLE</t>
        </is>
      </c>
      <c r="D278" s="7" t="n"/>
      <c r="H278" s="13">
        <f>'HUBS'!H15</f>
        <v/>
      </c>
      <c r="I278" s="7" t="n"/>
      <c r="M278" s="13">
        <f>'HUBS'!M15</f>
        <v/>
      </c>
      <c r="N278" s="11">
        <f>'HUBS'!N15</f>
        <v/>
      </c>
      <c r="O278" s="12">
        <f>'HUBS'!O15</f>
        <v/>
      </c>
      <c r="P278" s="12">
        <f>'HUBS'!P15</f>
        <v/>
      </c>
      <c r="Q278" s="12">
        <f>'HUBS'!Q15</f>
        <v/>
      </c>
      <c r="R278" s="13">
        <f>'HUBS'!R15</f>
        <v/>
      </c>
      <c r="S278" s="11">
        <f>'HUBS'!S15</f>
        <v/>
      </c>
      <c r="T278" s="12">
        <f>'HUBS'!T15</f>
        <v/>
      </c>
      <c r="U278" s="12">
        <f>'HUBS'!U15</f>
        <v/>
      </c>
      <c r="V278" s="12">
        <f>'HUBS'!V15</f>
        <v/>
      </c>
      <c r="W278" s="13">
        <f>'HUBS'!W15</f>
        <v/>
      </c>
      <c r="X278" s="7" t="n"/>
    </row>
    <row r="279">
      <c r="A279" s="9" t="inlineStr">
        <is>
          <t>ZS</t>
        </is>
      </c>
      <c r="B279" s="10" t="n">
        <v>0.019</v>
      </c>
      <c r="C279" s="9" t="inlineStr">
        <is>
          <t>STABLE</t>
        </is>
      </c>
      <c r="D279" s="7" t="n"/>
      <c r="H279" s="13">
        <f>'ZS'!H15</f>
        <v/>
      </c>
      <c r="I279" s="7" t="n"/>
      <c r="M279" s="13">
        <f>'ZS'!M15</f>
        <v/>
      </c>
      <c r="N279" s="7" t="n"/>
      <c r="O279" s="12">
        <f>'ZS'!O15</f>
        <v/>
      </c>
      <c r="P279" s="12">
        <f>'ZS'!P15</f>
        <v/>
      </c>
      <c r="Q279" s="12">
        <f>'ZS'!Q15</f>
        <v/>
      </c>
      <c r="R279" s="13">
        <f>'ZS'!R15</f>
        <v/>
      </c>
      <c r="S279" s="11">
        <f>'ZS'!S15</f>
        <v/>
      </c>
      <c r="T279" s="12">
        <f>'ZS'!T15</f>
        <v/>
      </c>
      <c r="U279" s="12">
        <f>'ZS'!U15</f>
        <v/>
      </c>
      <c r="V279" s="12">
        <f>'ZS'!V15</f>
        <v/>
      </c>
      <c r="W279" s="13">
        <f>'ZS'!W15</f>
        <v/>
      </c>
      <c r="X279" s="11">
        <f>'ZS'!X15</f>
        <v/>
      </c>
    </row>
    <row r="280">
      <c r="A280" s="9" t="inlineStr">
        <is>
          <t>OKTA</t>
        </is>
      </c>
      <c r="B280" s="10" t="n">
        <v>0.0187</v>
      </c>
      <c r="C280" s="9" t="inlineStr">
        <is>
          <t>STABLE</t>
        </is>
      </c>
      <c r="D280" s="7" t="n"/>
      <c r="H280" s="13">
        <f>'OKTA'!H15</f>
        <v/>
      </c>
      <c r="I280" s="7" t="n"/>
      <c r="M280" s="13">
        <f>'OKTA'!M15</f>
        <v/>
      </c>
      <c r="N280" s="7" t="n"/>
      <c r="O280" s="12">
        <f>'OKTA'!O15</f>
        <v/>
      </c>
      <c r="P280" s="12">
        <f>'OKTA'!P15</f>
        <v/>
      </c>
      <c r="Q280" s="12">
        <f>'OKTA'!Q15</f>
        <v/>
      </c>
      <c r="R280" s="13">
        <f>'OKTA'!R15</f>
        <v/>
      </c>
      <c r="S280" s="11">
        <f>'OKTA'!S15</f>
        <v/>
      </c>
      <c r="T280" s="12">
        <f>'OKTA'!T15</f>
        <v/>
      </c>
      <c r="U280" s="12">
        <f>'OKTA'!U15</f>
        <v/>
      </c>
      <c r="V280" s="12">
        <f>'OKTA'!V15</f>
        <v/>
      </c>
      <c r="W280" s="13">
        <f>'OKTA'!W15</f>
        <v/>
      </c>
      <c r="X280" s="11">
        <f>'OKTA'!X15</f>
        <v/>
      </c>
    </row>
    <row r="281">
      <c r="A281" s="9" t="inlineStr">
        <is>
          <t>TTD</t>
        </is>
      </c>
      <c r="B281" s="10" t="n">
        <v>0.0178</v>
      </c>
      <c r="C281" s="9" t="inlineStr">
        <is>
          <t>STABLE</t>
        </is>
      </c>
      <c r="D281" s="7" t="n"/>
      <c r="H281" s="13">
        <f>'TTD'!H15</f>
        <v/>
      </c>
      <c r="I281" s="7" t="n"/>
      <c r="M281" s="13">
        <f>'TTD'!M15</f>
        <v/>
      </c>
      <c r="N281" s="11">
        <f>'TTD'!N15</f>
        <v/>
      </c>
      <c r="O281" s="12">
        <f>'TTD'!O15</f>
        <v/>
      </c>
      <c r="P281" s="12">
        <f>'TTD'!P15</f>
        <v/>
      </c>
      <c r="Q281" s="12">
        <f>'TTD'!Q15</f>
        <v/>
      </c>
      <c r="R281" s="13">
        <f>'TTD'!R15</f>
        <v/>
      </c>
      <c r="S281" s="11">
        <f>'TTD'!S15</f>
        <v/>
      </c>
      <c r="T281" s="12">
        <f>'TTD'!T15</f>
        <v/>
      </c>
      <c r="U281" s="12">
        <f>'TTD'!U15</f>
        <v/>
      </c>
      <c r="V281" s="12">
        <f>'TTD'!V15</f>
        <v/>
      </c>
      <c r="W281" s="13">
        <f>'TTD'!W15</f>
        <v/>
      </c>
      <c r="X281" s="7" t="n"/>
    </row>
    <row r="282">
      <c r="A282" s="9" t="inlineStr">
        <is>
          <t>MDB</t>
        </is>
      </c>
      <c r="B282" s="10" t="n">
        <v>0.0505</v>
      </c>
      <c r="C282" s="9" t="inlineStr">
        <is>
          <t>STABLE</t>
        </is>
      </c>
      <c r="D282" s="7" t="n"/>
      <c r="H282" s="13">
        <f>'MDB'!H15</f>
        <v/>
      </c>
      <c r="I282" s="7" t="n"/>
      <c r="M282" s="13">
        <f>'MDB'!M15</f>
        <v/>
      </c>
      <c r="N282" s="7" t="n"/>
      <c r="O282" s="12">
        <f>'MDB'!O15</f>
        <v/>
      </c>
      <c r="P282" s="12">
        <f>'MDB'!P15</f>
        <v/>
      </c>
      <c r="Q282" s="12">
        <f>'MDB'!Q15</f>
        <v/>
      </c>
      <c r="R282" s="13">
        <f>'MDB'!R15</f>
        <v/>
      </c>
      <c r="S282" s="11">
        <f>'MDB'!S15</f>
        <v/>
      </c>
      <c r="T282" s="12">
        <f>'MDB'!T15</f>
        <v/>
      </c>
      <c r="U282" s="12">
        <f>'MDB'!U15</f>
        <v/>
      </c>
      <c r="V282" s="12">
        <f>'MDB'!V15</f>
        <v/>
      </c>
      <c r="W282" s="13">
        <f>'MDB'!W15</f>
        <v/>
      </c>
      <c r="X282" s="11">
        <f>'MDB'!X15</f>
        <v/>
      </c>
    </row>
    <row r="283">
      <c r="A283" s="9" t="inlineStr">
        <is>
          <t>PAYC</t>
        </is>
      </c>
      <c r="B283" s="10" t="n">
        <v>0.0095</v>
      </c>
      <c r="C283" s="15" t="inlineStr">
        <is>
          <t>ACCELERATING</t>
        </is>
      </c>
      <c r="D283" s="7" t="n"/>
      <c r="H283" s="13">
        <f>'PAYC'!H15</f>
        <v/>
      </c>
      <c r="I283" s="7" t="n"/>
      <c r="M283" s="13">
        <f>'PAYC'!M15</f>
        <v/>
      </c>
      <c r="N283" s="11">
        <f>'PAYC'!N15</f>
        <v/>
      </c>
      <c r="O283" s="12">
        <f>'PAYC'!O15</f>
        <v/>
      </c>
      <c r="P283" s="12">
        <f>'PAYC'!P15</f>
        <v/>
      </c>
      <c r="Q283" s="12">
        <f>'PAYC'!Q15</f>
        <v/>
      </c>
      <c r="R283" s="13">
        <f>'PAYC'!R15</f>
        <v/>
      </c>
      <c r="S283" s="11">
        <f>'PAYC'!S15</f>
        <v/>
      </c>
      <c r="T283" s="12">
        <f>'PAYC'!T15</f>
        <v/>
      </c>
      <c r="U283" s="12">
        <f>'PAYC'!U15</f>
        <v/>
      </c>
      <c r="V283" s="12">
        <f>'PAYC'!V15</f>
        <v/>
      </c>
      <c r="W283" s="13">
        <f>'PAYC'!W15</f>
        <v/>
      </c>
      <c r="X283" s="7" t="n"/>
    </row>
    <row r="284">
      <c r="A284" s="9" t="inlineStr">
        <is>
          <t>DT</t>
        </is>
      </c>
      <c r="B284" s="10" t="n">
        <v>0.0194</v>
      </c>
      <c r="C284" s="9" t="inlineStr">
        <is>
          <t>STABLE</t>
        </is>
      </c>
      <c r="D284" s="7" t="n"/>
      <c r="H284" s="13">
        <f>'DT'!H15</f>
        <v/>
      </c>
      <c r="I284" s="7" t="n"/>
      <c r="M284" s="13">
        <f>'DT'!M15</f>
        <v/>
      </c>
      <c r="N284" s="11">
        <f>'DT'!N15</f>
        <v/>
      </c>
      <c r="O284" s="12">
        <f>'DT'!O15</f>
        <v/>
      </c>
      <c r="P284" s="12">
        <f>'DT'!P15</f>
        <v/>
      </c>
      <c r="Q284" s="12">
        <f>'DT'!Q15</f>
        <v/>
      </c>
      <c r="R284" s="13">
        <f>'DT'!R15</f>
        <v/>
      </c>
      <c r="S284" s="11">
        <f>'DT'!S15</f>
        <v/>
      </c>
      <c r="T284" s="12">
        <f>'DT'!T15</f>
        <v/>
      </c>
      <c r="U284" s="12">
        <f>'DT'!U15</f>
        <v/>
      </c>
      <c r="V284" s="12">
        <f>'DT'!V15</f>
        <v/>
      </c>
      <c r="W284" s="13">
        <f>'DT'!W15</f>
        <v/>
      </c>
      <c r="X284" s="7" t="n"/>
    </row>
    <row r="285">
      <c r="A285" s="9" t="inlineStr">
        <is>
          <t>PCTY</t>
        </is>
      </c>
      <c r="B285" s="10" t="n">
        <v>0.0216</v>
      </c>
      <c r="C285" s="9" t="inlineStr">
        <is>
          <t>STABLE</t>
        </is>
      </c>
      <c r="D285" s="7" t="n"/>
      <c r="H285" s="13">
        <f>'PCTY'!H15</f>
        <v/>
      </c>
      <c r="I285" s="7" t="n"/>
      <c r="M285" s="13">
        <f>'PCTY'!M15</f>
        <v/>
      </c>
      <c r="N285" s="11">
        <f>'PCTY'!N15</f>
        <v/>
      </c>
      <c r="O285" s="12">
        <f>'PCTY'!O15</f>
        <v/>
      </c>
      <c r="P285" s="12">
        <f>'PCTY'!P15</f>
        <v/>
      </c>
      <c r="Q285" s="12">
        <f>'PCTY'!Q15</f>
        <v/>
      </c>
      <c r="R285" s="13">
        <f>'PCTY'!R15</f>
        <v/>
      </c>
      <c r="S285" s="11">
        <f>'PCTY'!S15</f>
        <v/>
      </c>
      <c r="T285" s="12">
        <f>'PCTY'!T15</f>
        <v/>
      </c>
      <c r="U285" s="12">
        <f>'PCTY'!U15</f>
        <v/>
      </c>
      <c r="V285" s="12">
        <f>'PCTY'!V15</f>
        <v/>
      </c>
      <c r="W285" s="13">
        <f>'PCTY'!W15</f>
        <v/>
      </c>
      <c r="X285" s="7" t="n"/>
    </row>
    <row r="286">
      <c r="A286" s="9" t="inlineStr">
        <is>
          <t>ESTC</t>
        </is>
      </c>
      <c r="B286" s="10" t="n">
        <v>0.0244</v>
      </c>
      <c r="C286" s="9" t="inlineStr">
        <is>
          <t>STABLE</t>
        </is>
      </c>
      <c r="D286" s="7" t="n"/>
      <c r="H286" s="13">
        <f>'ESTC'!H15</f>
        <v/>
      </c>
      <c r="I286" s="7" t="n"/>
      <c r="M286" s="13">
        <f>'ESTC'!M15</f>
        <v/>
      </c>
      <c r="N286" s="7" t="n"/>
      <c r="O286" s="12">
        <f>'ESTC'!O15</f>
        <v/>
      </c>
      <c r="P286" s="12">
        <f>'ESTC'!P15</f>
        <v/>
      </c>
      <c r="Q286" s="12">
        <f>'ESTC'!Q15</f>
        <v/>
      </c>
      <c r="R286" s="13">
        <f>'ESTC'!R15</f>
        <v/>
      </c>
      <c r="S286" s="11">
        <f>'ESTC'!S15</f>
        <v/>
      </c>
      <c r="T286" s="12">
        <f>'ESTC'!T15</f>
        <v/>
      </c>
      <c r="U286" s="12">
        <f>'ESTC'!U15</f>
        <v/>
      </c>
      <c r="V286" s="12">
        <f>'ESTC'!V15</f>
        <v/>
      </c>
      <c r="W286" s="13">
        <f>'ESTC'!W15</f>
        <v/>
      </c>
      <c r="X286" s="11">
        <f>'ESTC'!X15</f>
        <v/>
      </c>
    </row>
    <row r="287">
      <c r="A287" s="9" t="inlineStr">
        <is>
          <t>BILL</t>
        </is>
      </c>
      <c r="B287" s="10" t="n">
        <v>0.008</v>
      </c>
      <c r="C287" s="9" t="inlineStr">
        <is>
          <t>STABLE</t>
        </is>
      </c>
      <c r="D287" s="7" t="n"/>
      <c r="H287" s="13">
        <f>'BILL'!H15</f>
        <v/>
      </c>
      <c r="I287" s="7" t="n"/>
      <c r="M287" s="13">
        <f>'BILL'!M15</f>
        <v/>
      </c>
      <c r="N287" s="11">
        <f>'BILL'!N15</f>
        <v/>
      </c>
      <c r="O287" s="12">
        <f>'BILL'!O15</f>
        <v/>
      </c>
      <c r="P287" s="12">
        <f>'BILL'!P15</f>
        <v/>
      </c>
      <c r="Q287" s="12">
        <f>'BILL'!Q15</f>
        <v/>
      </c>
      <c r="R287" s="13">
        <f>'BILL'!R15</f>
        <v/>
      </c>
      <c r="S287" s="11">
        <f>'BILL'!S15</f>
        <v/>
      </c>
      <c r="T287" s="12">
        <f>'BILL'!T15</f>
        <v/>
      </c>
      <c r="U287" s="12">
        <f>'BILL'!U15</f>
        <v/>
      </c>
      <c r="V287" s="12">
        <f>'BILL'!V15</f>
        <v/>
      </c>
      <c r="W287" s="13">
        <f>'BILL'!W15</f>
        <v/>
      </c>
      <c r="X287" s="7" t="n"/>
    </row>
    <row r="288">
      <c r="A288" s="9" t="inlineStr">
        <is>
          <t>BSY</t>
        </is>
      </c>
      <c r="B288" s="10" t="n">
        <v>0.0135</v>
      </c>
      <c r="C288" s="15" t="inlineStr">
        <is>
          <t>ACCELERATING</t>
        </is>
      </c>
      <c r="D288" s="7" t="n"/>
      <c r="H288" s="13">
        <f>'BSY'!H15</f>
        <v/>
      </c>
      <c r="I288" s="7" t="n"/>
      <c r="M288" s="13">
        <f>'BSY'!M15</f>
        <v/>
      </c>
      <c r="N288" s="11">
        <f>'BSY'!N15</f>
        <v/>
      </c>
      <c r="O288" s="12">
        <f>'BSY'!O15</f>
        <v/>
      </c>
      <c r="P288" s="12">
        <f>'BSY'!P15</f>
        <v/>
      </c>
      <c r="Q288" s="12">
        <f>'BSY'!Q15</f>
        <v/>
      </c>
      <c r="R288" s="13">
        <f>'BSY'!R15</f>
        <v/>
      </c>
      <c r="S288" s="11">
        <f>'BSY'!S15</f>
        <v/>
      </c>
      <c r="T288" s="12">
        <f>'BSY'!T15</f>
        <v/>
      </c>
      <c r="U288" s="12">
        <f>'BSY'!U15</f>
        <v/>
      </c>
      <c r="V288" s="12">
        <f>'BSY'!V15</f>
        <v/>
      </c>
      <c r="W288" s="13">
        <f>'BSY'!W15</f>
        <v/>
      </c>
      <c r="X288" s="7" t="n"/>
    </row>
    <row r="289">
      <c r="A289" s="9" t="inlineStr">
        <is>
          <t>GWRE</t>
        </is>
      </c>
      <c r="B289" s="10" t="n">
        <v>0.0447</v>
      </c>
      <c r="C289" s="9" t="inlineStr">
        <is>
          <t>STABLE</t>
        </is>
      </c>
      <c r="D289" s="7" t="n"/>
      <c r="H289" s="13">
        <f>'GWRE'!H15</f>
        <v/>
      </c>
      <c r="I289" s="7" t="n"/>
      <c r="M289" s="13">
        <f>'GWRE'!M15</f>
        <v/>
      </c>
      <c r="N289" s="7" t="n"/>
      <c r="O289" s="12">
        <f>'GWRE'!O15</f>
        <v/>
      </c>
      <c r="P289" s="12">
        <f>'GWRE'!P15</f>
        <v/>
      </c>
      <c r="Q289" s="12">
        <f>'GWRE'!Q15</f>
        <v/>
      </c>
      <c r="R289" s="13">
        <f>'GWRE'!R15</f>
        <v/>
      </c>
      <c r="S289" s="11">
        <f>'GWRE'!S15</f>
        <v/>
      </c>
      <c r="T289" s="12">
        <f>'GWRE'!T15</f>
        <v/>
      </c>
      <c r="U289" s="12">
        <f>'GWRE'!U15</f>
        <v/>
      </c>
      <c r="V289" s="12">
        <f>'GWRE'!V15</f>
        <v/>
      </c>
      <c r="W289" s="13">
        <f>'GWRE'!W15</f>
        <v/>
      </c>
      <c r="X289" s="11">
        <f>'GWRE'!X15</f>
        <v/>
      </c>
    </row>
    <row r="290">
      <c r="A290" s="9" t="inlineStr">
        <is>
          <t>PCOR</t>
        </is>
      </c>
      <c r="B290" s="10" t="n">
        <v>0.0174</v>
      </c>
      <c r="C290" s="9" t="inlineStr">
        <is>
          <t>STABLE</t>
        </is>
      </c>
      <c r="D290" s="7" t="n"/>
      <c r="H290" s="13">
        <f>'PCOR'!H15</f>
        <v/>
      </c>
      <c r="I290" s="7" t="n"/>
      <c r="M290" s="13">
        <f>'PCOR'!M15</f>
        <v/>
      </c>
      <c r="N290" s="11">
        <f>'PCOR'!N15</f>
        <v/>
      </c>
      <c r="O290" s="12">
        <f>'PCOR'!O15</f>
        <v/>
      </c>
      <c r="P290" s="12">
        <f>'PCOR'!P15</f>
        <v/>
      </c>
      <c r="Q290" s="12">
        <f>'PCOR'!Q15</f>
        <v/>
      </c>
      <c r="R290" s="13">
        <f>'PCOR'!R15</f>
        <v/>
      </c>
      <c r="S290" s="11">
        <f>'PCOR'!S15</f>
        <v/>
      </c>
      <c r="T290" s="12">
        <f>'PCOR'!T15</f>
        <v/>
      </c>
      <c r="U290" s="12">
        <f>'PCOR'!U15</f>
        <v/>
      </c>
      <c r="V290" s="12">
        <f>'PCOR'!V15</f>
        <v/>
      </c>
      <c r="W290" s="13">
        <f>'PCOR'!W15</f>
        <v/>
      </c>
      <c r="X290" s="7" t="n"/>
    </row>
    <row r="291">
      <c r="A291" s="9" t="inlineStr">
        <is>
          <t>ZI</t>
        </is>
      </c>
      <c r="B291" s="10" t="n">
        <v>0.0304</v>
      </c>
      <c r="C291" s="9" t="inlineStr">
        <is>
          <t>STABLE</t>
        </is>
      </c>
      <c r="D291" s="7" t="n"/>
      <c r="H291" s="13">
        <f>'ZI'!H15</f>
        <v/>
      </c>
      <c r="I291" s="7" t="n"/>
      <c r="M291" s="13">
        <f>'ZI'!M15</f>
        <v/>
      </c>
      <c r="N291" s="11">
        <f>'ZI'!N15</f>
        <v/>
      </c>
      <c r="O291" s="12">
        <f>'ZI'!O15</f>
        <v/>
      </c>
      <c r="P291" s="12">
        <f>'ZI'!P15</f>
        <v/>
      </c>
      <c r="Q291" s="12">
        <f>'ZI'!Q15</f>
        <v/>
      </c>
      <c r="R291" s="13">
        <f>'ZI'!R15</f>
        <v/>
      </c>
      <c r="S291" s="11">
        <f>'ZI'!S15</f>
        <v/>
      </c>
      <c r="T291" s="12">
        <f>'ZI'!T15</f>
        <v/>
      </c>
      <c r="U291" s="12">
        <f>'ZI'!U15</f>
        <v/>
      </c>
      <c r="V291" s="12">
        <f>'ZI'!V15</f>
        <v/>
      </c>
      <c r="W291" s="13">
        <f>'ZI'!W15</f>
        <v/>
      </c>
      <c r="X291" s="7" t="n"/>
    </row>
    <row r="292">
      <c r="A292" s="9" t="inlineStr">
        <is>
          <t>KVYO</t>
        </is>
      </c>
      <c r="B292" s="10" t="n">
        <v>0.045</v>
      </c>
      <c r="C292" s="15" t="inlineStr">
        <is>
          <t>ACCELERATING</t>
        </is>
      </c>
      <c r="D292" s="7" t="n"/>
      <c r="H292" s="13">
        <f>'KVYO'!H15</f>
        <v/>
      </c>
      <c r="I292" s="7" t="n"/>
      <c r="M292" s="13">
        <f>'KVYO'!M15</f>
        <v/>
      </c>
      <c r="N292" s="11">
        <f>'KVYO'!N15</f>
        <v/>
      </c>
      <c r="O292" s="12">
        <f>'KVYO'!O15</f>
        <v/>
      </c>
      <c r="P292" s="12">
        <f>'KVYO'!P15</f>
        <v/>
      </c>
      <c r="Q292" s="12">
        <f>'KVYO'!Q15</f>
        <v/>
      </c>
      <c r="R292" s="13">
        <f>'KVYO'!R15</f>
        <v/>
      </c>
      <c r="S292" s="11">
        <f>'KVYO'!S15</f>
        <v/>
      </c>
      <c r="T292" s="12">
        <f>'KVYO'!T15</f>
        <v/>
      </c>
      <c r="U292" s="12">
        <f>'KVYO'!U15</f>
        <v/>
      </c>
      <c r="V292" s="12">
        <f>'KVYO'!V15</f>
        <v/>
      </c>
      <c r="W292" s="13">
        <f>'KVYO'!W15</f>
        <v/>
      </c>
      <c r="X292" s="7" t="n"/>
    </row>
    <row r="293">
      <c r="A293" s="9" t="inlineStr">
        <is>
          <t>MNDY</t>
        </is>
      </c>
      <c r="B293" s="10" t="n">
        <v>0.0166</v>
      </c>
      <c r="C293" s="9" t="inlineStr">
        <is>
          <t>STABLE</t>
        </is>
      </c>
      <c r="D293" s="7" t="n"/>
      <c r="H293" s="13">
        <f>'MNDY'!H15</f>
        <v/>
      </c>
      <c r="I293" s="7" t="n"/>
      <c r="M293" s="13">
        <f>'MNDY'!M15</f>
        <v/>
      </c>
      <c r="N293" s="11">
        <f>'MNDY'!N15</f>
        <v/>
      </c>
      <c r="O293" s="12">
        <f>'MNDY'!O15</f>
        <v/>
      </c>
      <c r="P293" s="12">
        <f>'MNDY'!P15</f>
        <v/>
      </c>
      <c r="Q293" s="12">
        <f>'MNDY'!Q15</f>
        <v/>
      </c>
      <c r="R293" s="13">
        <f>'MNDY'!R15</f>
        <v/>
      </c>
      <c r="S293" s="11">
        <f>'MNDY'!S15</f>
        <v/>
      </c>
      <c r="T293" s="12">
        <f>'MNDY'!T15</f>
        <v/>
      </c>
      <c r="U293" s="12">
        <f>'MNDY'!U15</f>
        <v/>
      </c>
      <c r="V293" s="12">
        <f>'MNDY'!V15</f>
        <v/>
      </c>
      <c r="W293" s="13">
        <f>'MNDY'!W15</f>
        <v/>
      </c>
      <c r="X293" s="7" t="n"/>
    </row>
    <row r="294">
      <c r="A294" s="9" t="inlineStr">
        <is>
          <t>CFLT</t>
        </is>
      </c>
      <c r="B294" s="10" t="n">
        <v>0.0026</v>
      </c>
      <c r="C294" s="15" t="inlineStr">
        <is>
          <t>ACCELERATING</t>
        </is>
      </c>
      <c r="D294" s="7" t="n"/>
      <c r="H294" s="13">
        <f>'CFLT'!H15</f>
        <v/>
      </c>
      <c r="I294" s="7" t="n"/>
      <c r="M294" s="13">
        <f>'CFLT'!M15</f>
        <v/>
      </c>
      <c r="N294" s="11">
        <f>'CFLT'!N15</f>
        <v/>
      </c>
      <c r="O294" s="12">
        <f>'CFLT'!O15</f>
        <v/>
      </c>
      <c r="P294" s="12">
        <f>'CFLT'!P15</f>
        <v/>
      </c>
      <c r="Q294" s="12">
        <f>'CFLT'!Q15</f>
        <v/>
      </c>
      <c r="R294" s="13">
        <f>'CFLT'!R15</f>
        <v/>
      </c>
      <c r="S294" s="11">
        <f>'CFLT'!S15</f>
        <v/>
      </c>
      <c r="T294" s="12">
        <f>'CFLT'!T15</f>
        <v/>
      </c>
      <c r="U294" s="12">
        <f>'CFLT'!U15</f>
        <v/>
      </c>
      <c r="V294" s="12">
        <f>'CFLT'!V15</f>
        <v/>
      </c>
      <c r="W294" s="13">
        <f>'CFLT'!W15</f>
        <v/>
      </c>
      <c r="X294" s="7" t="n"/>
    </row>
    <row r="295">
      <c r="A295" s="9" t="inlineStr">
        <is>
          <t>AZPN</t>
        </is>
      </c>
      <c r="B295" s="10" t="n">
        <v>0.008699999999999999</v>
      </c>
      <c r="C295" s="9" t="inlineStr">
        <is>
          <t>STABLE</t>
        </is>
      </c>
      <c r="D295" s="7" t="n"/>
      <c r="H295" s="13">
        <f>'AZPN'!M15</f>
        <v/>
      </c>
      <c r="I295" s="11">
        <f>'AZPN'!N15</f>
        <v/>
      </c>
      <c r="J295" s="12">
        <f>'AZPN'!O15</f>
        <v/>
      </c>
      <c r="K295" s="12">
        <f>'AZPN'!P15</f>
        <v/>
      </c>
      <c r="L295" s="12">
        <f>'AZPN'!Q15</f>
        <v/>
      </c>
      <c r="M295" s="13">
        <f>'AZPN'!R15</f>
        <v/>
      </c>
      <c r="N295" s="11">
        <f>'AZPN'!S15</f>
        <v/>
      </c>
      <c r="O295" s="12">
        <f>'AZPN'!T15</f>
        <v/>
      </c>
      <c r="P295" s="12">
        <f>'AZPN'!U15</f>
        <v/>
      </c>
      <c r="Q295" s="12">
        <f>'AZPN'!V15</f>
        <v/>
      </c>
      <c r="R295" s="13">
        <f>'AZPN'!W15</f>
        <v/>
      </c>
      <c r="S295" s="11">
        <f>'AZPN'!X15</f>
        <v/>
      </c>
      <c r="T295" s="12">
        <f>'AZPN'!Y15</f>
        <v/>
      </c>
      <c r="U295" s="12">
        <f>'AZPN'!Z15</f>
        <v/>
      </c>
      <c r="V295" s="12">
        <f>'AZPN'!AA15</f>
        <v/>
      </c>
      <c r="W295" s="13">
        <f>'AZPN'!AB15</f>
        <v/>
      </c>
      <c r="X295" s="7" t="n"/>
    </row>
    <row r="296">
      <c r="A296" s="9" t="inlineStr">
        <is>
          <t>MANH</t>
        </is>
      </c>
      <c r="B296" s="10" t="n">
        <v>0.0234</v>
      </c>
      <c r="C296" s="16" t="inlineStr">
        <is>
          <t>DECELERATING</t>
        </is>
      </c>
      <c r="D296" s="7" t="n"/>
      <c r="H296" s="13">
        <f>'MANH'!H15</f>
        <v/>
      </c>
      <c r="I296" s="7" t="n"/>
      <c r="M296" s="13">
        <f>'MANH'!M15</f>
        <v/>
      </c>
      <c r="N296" s="11">
        <f>'MANH'!N15</f>
        <v/>
      </c>
      <c r="O296" s="12">
        <f>'MANH'!O15</f>
        <v/>
      </c>
      <c r="P296" s="12">
        <f>'MANH'!P15</f>
        <v/>
      </c>
      <c r="Q296" s="12">
        <f>'MANH'!Q15</f>
        <v/>
      </c>
      <c r="R296" s="13">
        <f>'MANH'!R15</f>
        <v/>
      </c>
      <c r="S296" s="11">
        <f>'MANH'!S15</f>
        <v/>
      </c>
      <c r="T296" s="12">
        <f>'MANH'!T15</f>
        <v/>
      </c>
      <c r="U296" s="12">
        <f>'MANH'!U15</f>
        <v/>
      </c>
      <c r="V296" s="12">
        <f>'MANH'!V15</f>
        <v/>
      </c>
      <c r="W296" s="13">
        <f>'MANH'!W15</f>
        <v/>
      </c>
      <c r="X296" s="7" t="n"/>
    </row>
    <row r="297">
      <c r="A297" s="9" t="inlineStr">
        <is>
          <t>S</t>
        </is>
      </c>
      <c r="B297" s="10" t="n">
        <v>-0.0052</v>
      </c>
      <c r="C297" s="9" t="inlineStr">
        <is>
          <t>STABLE</t>
        </is>
      </c>
      <c r="D297" s="7" t="n"/>
      <c r="H297" s="13">
        <f>'S'!H15</f>
        <v/>
      </c>
      <c r="I297" s="7" t="n"/>
      <c r="M297" s="13">
        <f>'S'!M15</f>
        <v/>
      </c>
      <c r="N297" s="7" t="n"/>
      <c r="O297" s="12">
        <f>'S'!O15</f>
        <v/>
      </c>
      <c r="P297" s="12">
        <f>'S'!P15</f>
        <v/>
      </c>
      <c r="Q297" s="12">
        <f>'S'!Q15</f>
        <v/>
      </c>
      <c r="R297" s="13">
        <f>'S'!R15</f>
        <v/>
      </c>
      <c r="S297" s="11">
        <f>'S'!S15</f>
        <v/>
      </c>
      <c r="T297" s="12">
        <f>'S'!T15</f>
        <v/>
      </c>
      <c r="U297" s="12">
        <f>'S'!U15</f>
        <v/>
      </c>
      <c r="V297" s="12">
        <f>'S'!V15</f>
        <v/>
      </c>
      <c r="W297" s="13">
        <f>'S'!W15</f>
        <v/>
      </c>
      <c r="X297" s="11">
        <f>'S'!X15</f>
        <v/>
      </c>
    </row>
    <row r="298">
      <c r="A298" s="9" t="inlineStr">
        <is>
          <t>TENB</t>
        </is>
      </c>
      <c r="B298" s="10" t="n">
        <v>0.0171</v>
      </c>
      <c r="C298" s="9" t="inlineStr">
        <is>
          <t>STABLE</t>
        </is>
      </c>
      <c r="D298" s="7" t="n"/>
      <c r="H298" s="13">
        <f>'TENB'!H15</f>
        <v/>
      </c>
      <c r="I298" s="7" t="n"/>
      <c r="M298" s="13">
        <f>'TENB'!M15</f>
        <v/>
      </c>
      <c r="N298" s="11">
        <f>'TENB'!N15</f>
        <v/>
      </c>
      <c r="O298" s="12">
        <f>'TENB'!O15</f>
        <v/>
      </c>
      <c r="P298" s="12">
        <f>'TENB'!P15</f>
        <v/>
      </c>
      <c r="Q298" s="12">
        <f>'TENB'!Q15</f>
        <v/>
      </c>
      <c r="R298" s="13">
        <f>'TENB'!R15</f>
        <v/>
      </c>
      <c r="S298" s="11">
        <f>'TENB'!S15</f>
        <v/>
      </c>
      <c r="T298" s="12">
        <f>'TENB'!T15</f>
        <v/>
      </c>
      <c r="U298" s="12">
        <f>'TENB'!U15</f>
        <v/>
      </c>
      <c r="V298" s="12">
        <f>'TENB'!V15</f>
        <v/>
      </c>
      <c r="W298" s="13">
        <f>'TENB'!W15</f>
        <v/>
      </c>
      <c r="X298" s="7" t="n"/>
    </row>
    <row r="299">
      <c r="A299" s="9" t="inlineStr">
        <is>
          <t>GTLB</t>
        </is>
      </c>
      <c r="B299" s="10" t="n">
        <v>0.0277</v>
      </c>
      <c r="C299" s="9" t="inlineStr">
        <is>
          <t>STABLE</t>
        </is>
      </c>
      <c r="D299" s="7" t="n"/>
      <c r="H299" s="13">
        <f>'GTLB'!H15</f>
        <v/>
      </c>
      <c r="I299" s="7" t="n"/>
      <c r="M299" s="13">
        <f>'GTLB'!M15</f>
        <v/>
      </c>
      <c r="N299" s="7" t="n"/>
      <c r="O299" s="12">
        <f>'GTLB'!O15</f>
        <v/>
      </c>
      <c r="P299" s="12">
        <f>'GTLB'!P15</f>
        <v/>
      </c>
      <c r="Q299" s="12">
        <f>'GTLB'!Q15</f>
        <v/>
      </c>
      <c r="R299" s="13">
        <f>'GTLB'!R15</f>
        <v/>
      </c>
      <c r="S299" s="11">
        <f>'GTLB'!S15</f>
        <v/>
      </c>
      <c r="T299" s="12">
        <f>'GTLB'!T15</f>
        <v/>
      </c>
      <c r="U299" s="12">
        <f>'GTLB'!U15</f>
        <v/>
      </c>
      <c r="V299" s="12">
        <f>'GTLB'!V15</f>
        <v/>
      </c>
      <c r="W299" s="13">
        <f>'GTLB'!W15</f>
        <v/>
      </c>
      <c r="X299" s="11">
        <f>'GTLB'!X15</f>
        <v/>
      </c>
    </row>
    <row r="300">
      <c r="A300" s="9" t="inlineStr">
        <is>
          <t>DOCN</t>
        </is>
      </c>
      <c r="B300" s="10" t="n">
        <v>-0.0086</v>
      </c>
      <c r="C300" s="15" t="inlineStr">
        <is>
          <t>ACCELERATING</t>
        </is>
      </c>
      <c r="D300" s="7" t="n"/>
      <c r="H300" s="13">
        <f>'DOCN'!H15</f>
        <v/>
      </c>
      <c r="I300" s="7" t="n"/>
      <c r="M300" s="13">
        <f>'DOCN'!M15</f>
        <v/>
      </c>
      <c r="N300" s="11">
        <f>'DOCN'!N15</f>
        <v/>
      </c>
      <c r="O300" s="12">
        <f>'DOCN'!O15</f>
        <v/>
      </c>
      <c r="P300" s="12">
        <f>'DOCN'!P15</f>
        <v/>
      </c>
      <c r="Q300" s="12">
        <f>'DOCN'!Q15</f>
        <v/>
      </c>
      <c r="R300" s="13">
        <f>'DOCN'!R15</f>
        <v/>
      </c>
      <c r="S300" s="11">
        <f>'DOCN'!S15</f>
        <v/>
      </c>
      <c r="T300" s="12">
        <f>'DOCN'!T15</f>
        <v/>
      </c>
      <c r="U300" s="12">
        <f>'DOCN'!U15</f>
        <v/>
      </c>
      <c r="V300" s="12">
        <f>'DOCN'!V15</f>
        <v/>
      </c>
      <c r="W300" s="13">
        <f>'DOCN'!W15</f>
        <v/>
      </c>
      <c r="X300" s="7" t="n"/>
    </row>
    <row r="301">
      <c r="A301" s="9" t="inlineStr">
        <is>
          <t>SPSC</t>
        </is>
      </c>
      <c r="B301" s="10" t="n">
        <v>-0.0004</v>
      </c>
      <c r="C301" s="9" t="inlineStr">
        <is>
          <t>STABLE</t>
        </is>
      </c>
      <c r="D301" s="7" t="n"/>
      <c r="H301" s="13">
        <f>'SPSC'!H15</f>
        <v/>
      </c>
      <c r="I301" s="7" t="n"/>
      <c r="M301" s="13">
        <f>'SPSC'!M15</f>
        <v/>
      </c>
      <c r="N301" s="11">
        <f>'SPSC'!N15</f>
        <v/>
      </c>
      <c r="O301" s="12">
        <f>'SPSC'!O15</f>
        <v/>
      </c>
      <c r="P301" s="12">
        <f>'SPSC'!P15</f>
        <v/>
      </c>
      <c r="Q301" s="12">
        <f>'SPSC'!Q15</f>
        <v/>
      </c>
      <c r="R301" s="13">
        <f>'SPSC'!R15</f>
        <v/>
      </c>
      <c r="S301" s="11">
        <f>'SPSC'!S15</f>
        <v/>
      </c>
      <c r="T301" s="12">
        <f>'SPSC'!T15</f>
        <v/>
      </c>
      <c r="U301" s="12">
        <f>'SPSC'!U15</f>
        <v/>
      </c>
      <c r="V301" s="12">
        <f>'SPSC'!V15</f>
        <v/>
      </c>
      <c r="W301" s="13">
        <f>'SPSC'!W15</f>
        <v/>
      </c>
      <c r="X301" s="7" t="n"/>
    </row>
    <row r="302">
      <c r="A302" s="9" t="inlineStr">
        <is>
          <t>BRZE</t>
        </is>
      </c>
      <c r="B302" s="10" t="n">
        <v>0.0227</v>
      </c>
      <c r="C302" s="9" t="inlineStr">
        <is>
          <t>STABLE</t>
        </is>
      </c>
      <c r="D302" s="7" t="n"/>
      <c r="H302" s="13">
        <f>'BRZE'!H15</f>
        <v/>
      </c>
      <c r="I302" s="7" t="n"/>
      <c r="M302" s="13">
        <f>'BRZE'!M15</f>
        <v/>
      </c>
      <c r="N302" s="7" t="n"/>
      <c r="O302" s="12">
        <f>'BRZE'!O15</f>
        <v/>
      </c>
      <c r="P302" s="12">
        <f>'BRZE'!P15</f>
        <v/>
      </c>
      <c r="Q302" s="12">
        <f>'BRZE'!Q15</f>
        <v/>
      </c>
      <c r="R302" s="13">
        <f>'BRZE'!R15</f>
        <v/>
      </c>
      <c r="S302" s="11">
        <f>'BRZE'!S15</f>
        <v/>
      </c>
      <c r="T302" s="12">
        <f>'BRZE'!T15</f>
        <v/>
      </c>
      <c r="U302" s="12">
        <f>'BRZE'!U15</f>
        <v/>
      </c>
      <c r="V302" s="12">
        <f>'BRZE'!V15</f>
        <v/>
      </c>
      <c r="W302" s="13">
        <f>'BRZE'!W15</f>
        <v/>
      </c>
      <c r="X302" s="11">
        <f>'BRZE'!X15</f>
        <v/>
      </c>
    </row>
    <row r="303">
      <c r="A303" s="9" t="inlineStr">
        <is>
          <t>CWAN</t>
        </is>
      </c>
      <c r="B303" s="10" t="n">
        <v>-0.0331</v>
      </c>
      <c r="C303" s="16" t="inlineStr">
        <is>
          <t>DECELERATING</t>
        </is>
      </c>
      <c r="D303" s="7" t="n"/>
      <c r="H303" s="13">
        <f>'CWAN'!H15</f>
        <v/>
      </c>
      <c r="I303" s="7" t="n"/>
      <c r="M303" s="13">
        <f>'CWAN'!M15</f>
        <v/>
      </c>
      <c r="N303" s="11">
        <f>'CWAN'!N15</f>
        <v/>
      </c>
      <c r="O303" s="12">
        <f>'CWAN'!O15</f>
        <v/>
      </c>
      <c r="P303" s="12">
        <f>'CWAN'!P15</f>
        <v/>
      </c>
      <c r="Q303" s="12">
        <f>'CWAN'!Q15</f>
        <v/>
      </c>
      <c r="R303" s="13">
        <f>'CWAN'!R15</f>
        <v/>
      </c>
      <c r="S303" s="11">
        <f>'CWAN'!S15</f>
        <v/>
      </c>
      <c r="T303" s="12">
        <f>'CWAN'!T15</f>
        <v/>
      </c>
      <c r="U303" s="12">
        <f>'CWAN'!U15</f>
        <v/>
      </c>
      <c r="V303" s="12">
        <f>'CWAN'!V15</f>
        <v/>
      </c>
      <c r="W303" s="13">
        <f>'CWAN'!W15</f>
        <v/>
      </c>
      <c r="X303" s="7" t="n"/>
    </row>
    <row r="304">
      <c r="A304" s="9" t="inlineStr">
        <is>
          <t>APPN</t>
        </is>
      </c>
      <c r="B304" s="10" t="n">
        <v>0.005600000000000001</v>
      </c>
      <c r="C304" s="9" t="inlineStr">
        <is>
          <t>STABLE</t>
        </is>
      </c>
      <c r="D304" s="7" t="n"/>
      <c r="H304" s="13">
        <f>'APPN'!H15</f>
        <v/>
      </c>
      <c r="I304" s="7" t="n"/>
      <c r="M304" s="13">
        <f>'APPN'!M15</f>
        <v/>
      </c>
      <c r="N304" s="11">
        <f>'APPN'!N15</f>
        <v/>
      </c>
      <c r="O304" s="12">
        <f>'APPN'!O15</f>
        <v/>
      </c>
      <c r="P304" s="12">
        <f>'APPN'!P15</f>
        <v/>
      </c>
      <c r="Q304" s="12">
        <f>'APPN'!Q15</f>
        <v/>
      </c>
      <c r="R304" s="13">
        <f>'APPN'!R15</f>
        <v/>
      </c>
      <c r="S304" s="11">
        <f>'APPN'!S15</f>
        <v/>
      </c>
      <c r="T304" s="12">
        <f>'APPN'!T15</f>
        <v/>
      </c>
      <c r="U304" s="12">
        <f>'APPN'!U15</f>
        <v/>
      </c>
      <c r="V304" s="12">
        <f>'APPN'!V15</f>
        <v/>
      </c>
      <c r="W304" s="13">
        <f>'APPN'!W15</f>
        <v/>
      </c>
      <c r="X304" s="7" t="n"/>
    </row>
    <row r="305">
      <c r="A305" s="9" t="inlineStr">
        <is>
          <t>QLYS</t>
        </is>
      </c>
      <c r="B305" s="10" t="n">
        <v>0.0067</v>
      </c>
      <c r="C305" s="9" t="inlineStr">
        <is>
          <t>STABLE</t>
        </is>
      </c>
      <c r="D305" s="7" t="n"/>
      <c r="H305" s="13">
        <f>'QLYS'!H15</f>
        <v/>
      </c>
      <c r="I305" s="7" t="n"/>
      <c r="M305" s="13">
        <f>'QLYS'!M15</f>
        <v/>
      </c>
      <c r="N305" s="11">
        <f>'QLYS'!N15</f>
        <v/>
      </c>
      <c r="O305" s="12">
        <f>'QLYS'!O15</f>
        <v/>
      </c>
      <c r="P305" s="12">
        <f>'QLYS'!P15</f>
        <v/>
      </c>
      <c r="Q305" s="12">
        <f>'QLYS'!Q15</f>
        <v/>
      </c>
      <c r="R305" s="13">
        <f>'QLYS'!R15</f>
        <v/>
      </c>
      <c r="S305" s="11">
        <f>'QLYS'!S15</f>
        <v/>
      </c>
      <c r="T305" s="12">
        <f>'QLYS'!T15</f>
        <v/>
      </c>
      <c r="U305" s="12">
        <f>'QLYS'!U15</f>
        <v/>
      </c>
      <c r="V305" s="12">
        <f>'QLYS'!V15</f>
        <v/>
      </c>
      <c r="W305" s="13">
        <f>'QLYS'!W15</f>
        <v/>
      </c>
      <c r="X305" s="7" t="n"/>
    </row>
    <row r="306">
      <c r="A306" s="9" t="inlineStr">
        <is>
          <t>NCNO</t>
        </is>
      </c>
      <c r="B306" s="10" t="n">
        <v>0.0154</v>
      </c>
      <c r="C306" s="16" t="inlineStr">
        <is>
          <t>DECELERATING</t>
        </is>
      </c>
      <c r="D306" s="7" t="n"/>
      <c r="H306" s="13">
        <f>'NCNO'!H15</f>
        <v/>
      </c>
      <c r="I306" s="7" t="n"/>
      <c r="M306" s="13">
        <f>'NCNO'!M15</f>
        <v/>
      </c>
      <c r="N306" s="7" t="n"/>
      <c r="O306" s="12">
        <f>'NCNO'!O15</f>
        <v/>
      </c>
      <c r="P306" s="12">
        <f>'NCNO'!P15</f>
        <v/>
      </c>
      <c r="Q306" s="12">
        <f>'NCNO'!Q15</f>
        <v/>
      </c>
      <c r="R306" s="13">
        <f>'NCNO'!R15</f>
        <v/>
      </c>
      <c r="S306" s="11">
        <f>'NCNO'!S15</f>
        <v/>
      </c>
      <c r="T306" s="12">
        <f>'NCNO'!T15</f>
        <v/>
      </c>
      <c r="U306" s="12">
        <f>'NCNO'!U15</f>
        <v/>
      </c>
      <c r="V306" s="12">
        <f>'NCNO'!V15</f>
        <v/>
      </c>
      <c r="W306" s="13">
        <f>'NCNO'!W15</f>
        <v/>
      </c>
      <c r="X306" s="11">
        <f>'NCNO'!X15</f>
        <v/>
      </c>
    </row>
    <row r="307">
      <c r="A307" s="9" t="inlineStr">
        <is>
          <t>FROG</t>
        </is>
      </c>
      <c r="B307" s="10" t="n">
        <v>0.0386</v>
      </c>
      <c r="C307" s="9" t="inlineStr">
        <is>
          <t>STABLE</t>
        </is>
      </c>
      <c r="D307" s="7" t="n"/>
      <c r="H307" s="13">
        <f>'FROG'!H15</f>
        <v/>
      </c>
      <c r="I307" s="7" t="n"/>
      <c r="M307" s="13">
        <f>'FROG'!M15</f>
        <v/>
      </c>
      <c r="N307" s="11">
        <f>'FROG'!N15</f>
        <v/>
      </c>
      <c r="O307" s="12">
        <f>'FROG'!O15</f>
        <v/>
      </c>
      <c r="P307" s="12">
        <f>'FROG'!P15</f>
        <v/>
      </c>
      <c r="Q307" s="12">
        <f>'FROG'!Q15</f>
        <v/>
      </c>
      <c r="R307" s="13">
        <f>'FROG'!R15</f>
        <v/>
      </c>
      <c r="S307" s="11">
        <f>'FROG'!S15</f>
        <v/>
      </c>
      <c r="T307" s="12">
        <f>'FROG'!T15</f>
        <v/>
      </c>
      <c r="U307" s="12">
        <f>'FROG'!U15</f>
        <v/>
      </c>
      <c r="V307" s="12">
        <f>'FROG'!V15</f>
        <v/>
      </c>
      <c r="W307" s="13">
        <f>'FROG'!W15</f>
        <v/>
      </c>
      <c r="X307" s="7" t="n"/>
    </row>
    <row r="308">
      <c r="A308" s="17" t="inlineStr">
        <is>
          <t>Total Revenue</t>
        </is>
      </c>
      <c r="B308" s="18" t="n"/>
      <c r="C308" s="18" t="n"/>
      <c r="D308" s="19">
        <f>SUM(D260:D307)</f>
        <v/>
      </c>
      <c r="E308" s="20">
        <f>SUM(E260:E307)</f>
        <v/>
      </c>
      <c r="F308" s="20">
        <f>SUM(F260:F307)</f>
        <v/>
      </c>
      <c r="G308" s="20">
        <f>SUM(G260:G307)</f>
        <v/>
      </c>
      <c r="H308" s="21">
        <f>SUM(D308:G308)</f>
        <v/>
      </c>
      <c r="I308" s="19">
        <f>SUM(I260:I307)</f>
        <v/>
      </c>
      <c r="J308" s="20">
        <f>SUM(J260:J307)</f>
        <v/>
      </c>
      <c r="K308" s="20">
        <f>SUM(K260:K307)</f>
        <v/>
      </c>
      <c r="L308" s="20">
        <f>SUM(L260:L307)</f>
        <v/>
      </c>
      <c r="M308" s="21">
        <f>SUM(I308:L308)</f>
        <v/>
      </c>
      <c r="N308" s="19">
        <f>SUM(N260:N307)</f>
        <v/>
      </c>
      <c r="O308" s="20">
        <f>SUM(O260:O307)</f>
        <v/>
      </c>
      <c r="P308" s="20">
        <f>SUM(P260:P307)</f>
        <v/>
      </c>
      <c r="Q308" s="20">
        <f>SUM(Q260:Q307)</f>
        <v/>
      </c>
      <c r="R308" s="21">
        <f>SUM(N308:Q308)</f>
        <v/>
      </c>
      <c r="S308" s="19">
        <f>SUM(S260:S307)</f>
        <v/>
      </c>
      <c r="T308" s="20">
        <f>SUM(T260:T307)</f>
        <v/>
      </c>
      <c r="U308" s="20">
        <f>SUM(U260:U307)</f>
        <v/>
      </c>
      <c r="V308" s="20">
        <f>SUM(V260:V307)</f>
        <v/>
      </c>
      <c r="W308" s="21">
        <f>SUM(S308:V308)</f>
        <v/>
      </c>
      <c r="X308" s="19">
        <f>SUM(X260:X307)</f>
        <v/>
      </c>
    </row>
    <row r="309">
      <c r="D309" s="7" t="n"/>
      <c r="H309" s="8" t="n"/>
      <c r="I309" s="7" t="n"/>
      <c r="M309" s="8" t="n"/>
      <c r="N309" s="7" t="n"/>
      <c r="R309" s="8" t="n"/>
      <c r="S309" s="7" t="n"/>
      <c r="W309" s="8" t="n"/>
      <c r="X309" s="7" t="n"/>
    </row>
    <row r="310">
      <c r="A310" s="3" t="inlineStr">
        <is>
          <t>% YoY</t>
        </is>
      </c>
      <c r="D310" s="7" t="n"/>
      <c r="H310" s="8" t="n"/>
      <c r="I310" s="7" t="n"/>
      <c r="M310" s="8" t="n"/>
      <c r="N310" s="7" t="n"/>
      <c r="R310" s="8" t="n"/>
      <c r="S310" s="7" t="n"/>
      <c r="W310" s="8" t="n"/>
      <c r="X310" s="7" t="n"/>
    </row>
    <row r="311">
      <c r="A311" s="9" t="inlineStr">
        <is>
          <t>ADBE</t>
        </is>
      </c>
      <c r="D311" s="7" t="n"/>
      <c r="H311" s="8" t="n"/>
      <c r="I311" s="22">
        <f>IFERROR((I260-D260)/D260,"-")</f>
        <v/>
      </c>
      <c r="J311" s="14">
        <f>IFERROR((J260-E260)/E260,"-")</f>
        <v/>
      </c>
      <c r="K311" s="14">
        <f>IFERROR((K260-F260)/F260,"-")</f>
        <v/>
      </c>
      <c r="L311" s="14">
        <f>IFERROR((L260-G260)/G260,"-")</f>
        <v/>
      </c>
      <c r="M311" s="8" t="n"/>
      <c r="N311" s="22">
        <f>IFERROR((N260-I260)/I260,"-")</f>
        <v/>
      </c>
      <c r="O311" s="14">
        <f>IFERROR((O260-J260)/J260,"-")</f>
        <v/>
      </c>
      <c r="P311" s="14">
        <f>IFERROR((P260-K260)/K260,"-")</f>
        <v/>
      </c>
      <c r="Q311" s="14">
        <f>IFERROR((Q260-L260)/L260,"-")</f>
        <v/>
      </c>
      <c r="R311" s="8" t="n"/>
      <c r="S311" s="22">
        <f>IFERROR((S260-N260)/N260,"-")</f>
        <v/>
      </c>
      <c r="T311" s="14">
        <f>IFERROR((T260-O260)/O260,"-")</f>
        <v/>
      </c>
      <c r="U311" s="14">
        <f>IFERROR((U260-P260)/P260,"-")</f>
        <v/>
      </c>
      <c r="V311" s="14">
        <f>IFERROR((V260-Q260)/Q260,"-")</f>
        <v/>
      </c>
      <c r="W311" s="8" t="n"/>
      <c r="X311" s="22">
        <f>IFERROR((X260-S260)/S260,"-")</f>
        <v/>
      </c>
    </row>
    <row r="312">
      <c r="A312" s="9" t="inlineStr">
        <is>
          <t>INTU</t>
        </is>
      </c>
      <c r="D312" s="7" t="n"/>
      <c r="H312" s="8" t="n"/>
      <c r="I312" s="22">
        <f>IFERROR((I261-D261)/D261,"-")</f>
        <v/>
      </c>
      <c r="J312" s="14">
        <f>IFERROR((J261-E261)/E261,"-")</f>
        <v/>
      </c>
      <c r="K312" s="14">
        <f>IFERROR((K261-F261)/F261,"-")</f>
        <v/>
      </c>
      <c r="L312" s="14">
        <f>IFERROR((L261-G261)/G261,"-")</f>
        <v/>
      </c>
      <c r="M312" s="8" t="n"/>
      <c r="N312" s="22">
        <f>IFERROR((N261-I261)/I261,"-")</f>
        <v/>
      </c>
      <c r="O312" s="14">
        <f>IFERROR((O261-J261)/J261,"-")</f>
        <v/>
      </c>
      <c r="P312" s="14">
        <f>IFERROR((P261-K261)/K261,"-")</f>
        <v/>
      </c>
      <c r="Q312" s="14">
        <f>IFERROR((Q261-L261)/L261,"-")</f>
        <v/>
      </c>
      <c r="R312" s="8" t="n"/>
      <c r="S312" s="22">
        <f>IFERROR((S261-N261)/N261,"-")</f>
        <v/>
      </c>
      <c r="T312" s="14">
        <f>IFERROR((T261-O261)/O261,"-")</f>
        <v/>
      </c>
      <c r="U312" s="14">
        <f>IFERROR((U261-P261)/P261,"-")</f>
        <v/>
      </c>
      <c r="V312" s="14">
        <f>IFERROR((V261-Q261)/Q261,"-")</f>
        <v/>
      </c>
      <c r="W312" s="8" t="n"/>
      <c r="X312" s="22">
        <f>IFERROR((X261-S261)/S261,"-")</f>
        <v/>
      </c>
    </row>
    <row r="313">
      <c r="A313" s="9" t="inlineStr">
        <is>
          <t>NOW</t>
        </is>
      </c>
      <c r="D313" s="7" t="n"/>
      <c r="H313" s="8" t="n"/>
      <c r="I313" s="22">
        <f>IFERROR((I262-D262)/D262,"-")</f>
        <v/>
      </c>
      <c r="J313" s="14">
        <f>IFERROR((J262-E262)/E262,"-")</f>
        <v/>
      </c>
      <c r="K313" s="14">
        <f>IFERROR((K262-F262)/F262,"-")</f>
        <v/>
      </c>
      <c r="L313" s="14">
        <f>IFERROR((L262-G262)/G262,"-")</f>
        <v/>
      </c>
      <c r="M313" s="8" t="n"/>
      <c r="N313" s="22">
        <f>IFERROR((N262-I262)/I262,"-")</f>
        <v/>
      </c>
      <c r="O313" s="14">
        <f>IFERROR((O262-J262)/J262,"-")</f>
        <v/>
      </c>
      <c r="P313" s="14">
        <f>IFERROR((P262-K262)/K262,"-")</f>
        <v/>
      </c>
      <c r="Q313" s="14">
        <f>IFERROR((Q262-L262)/L262,"-")</f>
        <v/>
      </c>
      <c r="R313" s="8" t="n"/>
      <c r="S313" s="22">
        <f>IFERROR((S262-N262)/N262,"-")</f>
        <v/>
      </c>
      <c r="T313" s="14">
        <f>IFERROR((T262-O262)/O262,"-")</f>
        <v/>
      </c>
      <c r="U313" s="14">
        <f>IFERROR((U262-P262)/P262,"-")</f>
        <v/>
      </c>
      <c r="V313" s="14">
        <f>IFERROR((V262-Q262)/Q262,"-")</f>
        <v/>
      </c>
      <c r="W313" s="8" t="n"/>
      <c r="X313" s="22">
        <f>IFERROR((X262-S262)/S262,"-")</f>
        <v/>
      </c>
    </row>
    <row r="314">
      <c r="A314" s="9" t="inlineStr">
        <is>
          <t>PANW</t>
        </is>
      </c>
      <c r="D314" s="7" t="n"/>
      <c r="H314" s="8" t="n"/>
      <c r="I314" s="22">
        <f>IFERROR((I263-D263)/D263,"-")</f>
        <v/>
      </c>
      <c r="J314" s="14">
        <f>IFERROR((J263-E263)/E263,"-")</f>
        <v/>
      </c>
      <c r="K314" s="14">
        <f>IFERROR((K263-F263)/F263,"-")</f>
        <v/>
      </c>
      <c r="L314" s="14">
        <f>IFERROR((L263-G263)/G263,"-")</f>
        <v/>
      </c>
      <c r="M314" s="8" t="n"/>
      <c r="N314" s="22">
        <f>IFERROR((N263-I263)/I263,"-")</f>
        <v/>
      </c>
      <c r="O314" s="14">
        <f>IFERROR((O263-J263)/J263,"-")</f>
        <v/>
      </c>
      <c r="P314" s="14">
        <f>IFERROR((P263-K263)/K263,"-")</f>
        <v/>
      </c>
      <c r="Q314" s="14">
        <f>IFERROR((Q263-L263)/L263,"-")</f>
        <v/>
      </c>
      <c r="R314" s="8" t="n"/>
      <c r="S314" s="22">
        <f>IFERROR((S263-N263)/N263,"-")</f>
        <v/>
      </c>
      <c r="T314" s="14">
        <f>IFERROR((T263-O263)/O263,"-")</f>
        <v/>
      </c>
      <c r="U314" s="14">
        <f>IFERROR((U263-P263)/P263,"-")</f>
        <v/>
      </c>
      <c r="V314" s="14">
        <f>IFERROR((V263-Q263)/Q263,"-")</f>
        <v/>
      </c>
      <c r="W314" s="8" t="n"/>
      <c r="X314" s="22">
        <f>IFERROR((X263-S263)/S263,"-")</f>
        <v/>
      </c>
    </row>
    <row r="315">
      <c r="A315" s="9" t="inlineStr">
        <is>
          <t>WDAY</t>
        </is>
      </c>
      <c r="D315" s="7" t="n"/>
      <c r="H315" s="8" t="n"/>
      <c r="I315" s="22">
        <f>IFERROR((I264-D264)/D264,"-")</f>
        <v/>
      </c>
      <c r="J315" s="14">
        <f>IFERROR((J264-E264)/E264,"-")</f>
        <v/>
      </c>
      <c r="K315" s="14">
        <f>IFERROR((K264-F264)/F264,"-")</f>
        <v/>
      </c>
      <c r="L315" s="14">
        <f>IFERROR((L264-G264)/G264,"-")</f>
        <v/>
      </c>
      <c r="M315" s="8" t="n"/>
      <c r="N315" s="22">
        <f>IFERROR((N264-I264)/I264,"-")</f>
        <v/>
      </c>
      <c r="O315" s="14">
        <f>IFERROR((O264-J264)/J264,"-")</f>
        <v/>
      </c>
      <c r="P315" s="14">
        <f>IFERROR((P264-K264)/K264,"-")</f>
        <v/>
      </c>
      <c r="Q315" s="14">
        <f>IFERROR((Q264-L264)/L264,"-")</f>
        <v/>
      </c>
      <c r="R315" s="8" t="n"/>
      <c r="S315" s="22">
        <f>IFERROR((S264-N264)/N264,"-")</f>
        <v/>
      </c>
      <c r="T315" s="14">
        <f>IFERROR((T264-O264)/O264,"-")</f>
        <v/>
      </c>
      <c r="U315" s="14">
        <f>IFERROR((U264-P264)/P264,"-")</f>
        <v/>
      </c>
      <c r="V315" s="14">
        <f>IFERROR((V264-Q264)/Q264,"-")</f>
        <v/>
      </c>
      <c r="W315" s="8" t="n"/>
      <c r="X315" s="22">
        <f>IFERROR((X264-S264)/S264,"-")</f>
        <v/>
      </c>
    </row>
    <row r="316">
      <c r="A316" s="9" t="inlineStr">
        <is>
          <t>SNPS</t>
        </is>
      </c>
      <c r="D316" s="7" t="n"/>
      <c r="H316" s="8" t="n"/>
      <c r="I316" s="22">
        <f>IFERROR((I265-D265)/D265,"-")</f>
        <v/>
      </c>
      <c r="J316" s="14">
        <f>IFERROR((J265-E265)/E265,"-")</f>
        <v/>
      </c>
      <c r="K316" s="14">
        <f>IFERROR((K265-F265)/F265,"-")</f>
        <v/>
      </c>
      <c r="L316" s="14">
        <f>IFERROR((L265-G265)/G265,"-")</f>
        <v/>
      </c>
      <c r="M316" s="8" t="n"/>
      <c r="N316" s="22">
        <f>IFERROR((N265-I265)/I265,"-")</f>
        <v/>
      </c>
      <c r="O316" s="14">
        <f>IFERROR((O265-J265)/J265,"-")</f>
        <v/>
      </c>
      <c r="P316" s="14">
        <f>IFERROR((P265-K265)/K265,"-")</f>
        <v/>
      </c>
      <c r="Q316" s="14">
        <f>IFERROR((Q265-L265)/L265,"-")</f>
        <v/>
      </c>
      <c r="R316" s="8" t="n"/>
      <c r="S316" s="22">
        <f>IFERROR((S265-N265)/N265,"-")</f>
        <v/>
      </c>
      <c r="T316" s="14">
        <f>IFERROR((T265-O265)/O265,"-")</f>
        <v/>
      </c>
      <c r="U316" s="14">
        <f>IFERROR((U265-P265)/P265,"-")</f>
        <v/>
      </c>
      <c r="V316" s="14">
        <f>IFERROR((V265-Q265)/Q265,"-")</f>
        <v/>
      </c>
      <c r="W316" s="8" t="n"/>
      <c r="X316" s="22">
        <f>IFERROR((X265-S265)/S265,"-")</f>
        <v/>
      </c>
    </row>
    <row r="317">
      <c r="A317" s="9" t="inlineStr">
        <is>
          <t>ROP</t>
        </is>
      </c>
      <c r="D317" s="7" t="n"/>
      <c r="H317" s="8" t="n"/>
      <c r="I317" s="22">
        <f>IFERROR((I266-D266)/D266,"-")</f>
        <v/>
      </c>
      <c r="J317" s="14">
        <f>IFERROR((J266-E266)/E266,"-")</f>
        <v/>
      </c>
      <c r="K317" s="14">
        <f>IFERROR((K266-F266)/F266,"-")</f>
        <v/>
      </c>
      <c r="L317" s="14">
        <f>IFERROR((L266-G266)/G266,"-")</f>
        <v/>
      </c>
      <c r="M317" s="8" t="n"/>
      <c r="N317" s="22">
        <f>IFERROR((N266-I266)/I266,"-")</f>
        <v/>
      </c>
      <c r="O317" s="14">
        <f>IFERROR((O266-J266)/J266,"-")</f>
        <v/>
      </c>
      <c r="P317" s="14">
        <f>IFERROR((P266-K266)/K266,"-")</f>
        <v/>
      </c>
      <c r="Q317" s="14">
        <f>IFERROR((Q266-L266)/L266,"-")</f>
        <v/>
      </c>
      <c r="R317" s="8" t="n"/>
      <c r="S317" s="22">
        <f>IFERROR((S266-N266)/N266,"-")</f>
        <v/>
      </c>
      <c r="T317" s="14">
        <f>IFERROR((T266-O266)/O266,"-")</f>
        <v/>
      </c>
      <c r="U317" s="14">
        <f>IFERROR((U266-P266)/P266,"-")</f>
        <v/>
      </c>
      <c r="V317" s="14">
        <f>IFERROR((V266-Q266)/Q266,"-")</f>
        <v/>
      </c>
      <c r="W317" s="8" t="n"/>
      <c r="X317" s="22">
        <f>IFERROR((X266-S266)/S266,"-")</f>
        <v/>
      </c>
    </row>
    <row r="318">
      <c r="A318" s="9" t="inlineStr">
        <is>
          <t>ADSK</t>
        </is>
      </c>
      <c r="D318" s="7" t="n"/>
      <c r="H318" s="8" t="n"/>
      <c r="I318" s="22">
        <f>IFERROR((I267-D267)/D267,"-")</f>
        <v/>
      </c>
      <c r="J318" s="14">
        <f>IFERROR((J267-E267)/E267,"-")</f>
        <v/>
      </c>
      <c r="K318" s="14">
        <f>IFERROR((K267-F267)/F267,"-")</f>
        <v/>
      </c>
      <c r="L318" s="14">
        <f>IFERROR((L267-G267)/G267,"-")</f>
        <v/>
      </c>
      <c r="M318" s="8" t="n"/>
      <c r="N318" s="22">
        <f>IFERROR((N267-I267)/I267,"-")</f>
        <v/>
      </c>
      <c r="O318" s="14">
        <f>IFERROR((O267-J267)/J267,"-")</f>
        <v/>
      </c>
      <c r="P318" s="14">
        <f>IFERROR((P267-K267)/K267,"-")</f>
        <v/>
      </c>
      <c r="Q318" s="14">
        <f>IFERROR((Q267-L267)/L267,"-")</f>
        <v/>
      </c>
      <c r="R318" s="8" t="n"/>
      <c r="S318" s="22">
        <f>IFERROR((S267-N267)/N267,"-")</f>
        <v/>
      </c>
      <c r="T318" s="14">
        <f>IFERROR((T267-O267)/O267,"-")</f>
        <v/>
      </c>
      <c r="U318" s="14">
        <f>IFERROR((U267-P267)/P267,"-")</f>
        <v/>
      </c>
      <c r="V318" s="14">
        <f>IFERROR((V267-Q267)/Q267,"-")</f>
        <v/>
      </c>
      <c r="W318" s="8" t="n"/>
      <c r="X318" s="22">
        <f>IFERROR((X267-S267)/S267,"-")</f>
        <v/>
      </c>
    </row>
    <row r="319">
      <c r="A319" s="9" t="inlineStr">
        <is>
          <t>FTNT</t>
        </is>
      </c>
      <c r="D319" s="7" t="n"/>
      <c r="H319" s="8" t="n"/>
      <c r="I319" s="22">
        <f>IFERROR((I268-D268)/D268,"-")</f>
        <v/>
      </c>
      <c r="J319" s="14">
        <f>IFERROR((J268-E268)/E268,"-")</f>
        <v/>
      </c>
      <c r="K319" s="14">
        <f>IFERROR((K268-F268)/F268,"-")</f>
        <v/>
      </c>
      <c r="L319" s="14">
        <f>IFERROR((L268-G268)/G268,"-")</f>
        <v/>
      </c>
      <c r="M319" s="8" t="n"/>
      <c r="N319" s="22">
        <f>IFERROR((N268-I268)/I268,"-")</f>
        <v/>
      </c>
      <c r="O319" s="14">
        <f>IFERROR((O268-J268)/J268,"-")</f>
        <v/>
      </c>
      <c r="P319" s="14">
        <f>IFERROR((P268-K268)/K268,"-")</f>
        <v/>
      </c>
      <c r="Q319" s="14">
        <f>IFERROR((Q268-L268)/L268,"-")</f>
        <v/>
      </c>
      <c r="R319" s="8" t="n"/>
      <c r="S319" s="22">
        <f>IFERROR((S268-N268)/N268,"-")</f>
        <v/>
      </c>
      <c r="T319" s="14">
        <f>IFERROR((T268-O268)/O268,"-")</f>
        <v/>
      </c>
      <c r="U319" s="14">
        <f>IFERROR((U268-P268)/P268,"-")</f>
        <v/>
      </c>
      <c r="V319" s="14">
        <f>IFERROR((V268-Q268)/Q268,"-")</f>
        <v/>
      </c>
      <c r="W319" s="8" t="n"/>
      <c r="X319" s="22">
        <f>IFERROR((X268-S268)/S268,"-")</f>
        <v/>
      </c>
    </row>
    <row r="320">
      <c r="A320" s="9" t="inlineStr">
        <is>
          <t>TOST</t>
        </is>
      </c>
      <c r="D320" s="7" t="n"/>
      <c r="H320" s="8" t="n"/>
      <c r="I320" s="22">
        <f>IFERROR((I269-D269)/D269,"-")</f>
        <v/>
      </c>
      <c r="J320" s="14">
        <f>IFERROR((J269-E269)/E269,"-")</f>
        <v/>
      </c>
      <c r="K320" s="14">
        <f>IFERROR((K269-F269)/F269,"-")</f>
        <v/>
      </c>
      <c r="L320" s="14">
        <f>IFERROR((L269-G269)/G269,"-")</f>
        <v/>
      </c>
      <c r="M320" s="8" t="n"/>
      <c r="N320" s="22">
        <f>IFERROR((N269-I269)/I269,"-")</f>
        <v/>
      </c>
      <c r="O320" s="14">
        <f>IFERROR((O269-J269)/J269,"-")</f>
        <v/>
      </c>
      <c r="P320" s="14">
        <f>IFERROR((P269-K269)/K269,"-")</f>
        <v/>
      </c>
      <c r="Q320" s="14">
        <f>IFERROR((Q269-L269)/L269,"-")</f>
        <v/>
      </c>
      <c r="R320" s="8" t="n"/>
      <c r="S320" s="22">
        <f>IFERROR((S269-N269)/N269,"-")</f>
        <v/>
      </c>
      <c r="T320" s="14">
        <f>IFERROR((T269-O269)/O269,"-")</f>
        <v/>
      </c>
      <c r="U320" s="14">
        <f>IFERROR((U269-P269)/P269,"-")</f>
        <v/>
      </c>
      <c r="V320" s="14">
        <f>IFERROR((V269-Q269)/Q269,"-")</f>
        <v/>
      </c>
      <c r="W320" s="8" t="n"/>
      <c r="X320" s="22">
        <f>IFERROR((X269-S269)/S269,"-")</f>
        <v/>
      </c>
    </row>
    <row r="321">
      <c r="A321" s="9" t="inlineStr">
        <is>
          <t>TEAM</t>
        </is>
      </c>
      <c r="D321" s="7" t="n"/>
      <c r="H321" s="8" t="n"/>
      <c r="I321" s="22">
        <f>IFERROR((I270-D270)/D270,"-")</f>
        <v/>
      </c>
      <c r="J321" s="14">
        <f>IFERROR((J270-E270)/E270,"-")</f>
        <v/>
      </c>
      <c r="K321" s="14">
        <f>IFERROR((K270-F270)/F270,"-")</f>
        <v/>
      </c>
      <c r="L321" s="14">
        <f>IFERROR((L270-G270)/G270,"-")</f>
        <v/>
      </c>
      <c r="M321" s="8" t="n"/>
      <c r="N321" s="22">
        <f>IFERROR((N270-I270)/I270,"-")</f>
        <v/>
      </c>
      <c r="O321" s="14">
        <f>IFERROR((O270-J270)/J270,"-")</f>
        <v/>
      </c>
      <c r="P321" s="14">
        <f>IFERROR((P270-K270)/K270,"-")</f>
        <v/>
      </c>
      <c r="Q321" s="14">
        <f>IFERROR((Q270-L270)/L270,"-")</f>
        <v/>
      </c>
      <c r="R321" s="8" t="n"/>
      <c r="S321" s="22">
        <f>IFERROR((S270-N270)/N270,"-")</f>
        <v/>
      </c>
      <c r="T321" s="14">
        <f>IFERROR((T270-O270)/O270,"-")</f>
        <v/>
      </c>
      <c r="U321" s="14">
        <f>IFERROR((U270-P270)/P270,"-")</f>
        <v/>
      </c>
      <c r="V321" s="14">
        <f>IFERROR((V270-Q270)/Q270,"-")</f>
        <v/>
      </c>
      <c r="W321" s="8" t="n"/>
      <c r="X321" s="22">
        <f>IFERROR((X270-S270)/S270,"-")</f>
        <v/>
      </c>
    </row>
    <row r="322">
      <c r="A322" s="9" t="inlineStr">
        <is>
          <t>APP</t>
        </is>
      </c>
      <c r="D322" s="7" t="n"/>
      <c r="H322" s="8" t="n"/>
      <c r="I322" s="22">
        <f>IFERROR((I271-D271)/D271,"-")</f>
        <v/>
      </c>
      <c r="J322" s="14">
        <f>IFERROR((J271-E271)/E271,"-")</f>
        <v/>
      </c>
      <c r="K322" s="14">
        <f>IFERROR((K271-F271)/F271,"-")</f>
        <v/>
      </c>
      <c r="L322" s="14">
        <f>IFERROR((L271-G271)/G271,"-")</f>
        <v/>
      </c>
      <c r="M322" s="8" t="n"/>
      <c r="N322" s="22">
        <f>IFERROR((N271-I271)/I271,"-")</f>
        <v/>
      </c>
      <c r="O322" s="14">
        <f>IFERROR((O271-J271)/J271,"-")</f>
        <v/>
      </c>
      <c r="P322" s="14">
        <f>IFERROR((P271-K271)/K271,"-")</f>
        <v/>
      </c>
      <c r="Q322" s="14">
        <f>IFERROR((Q271-L271)/L271,"-")</f>
        <v/>
      </c>
      <c r="R322" s="8" t="n"/>
      <c r="S322" s="22">
        <f>IFERROR((S271-N271)/N271,"-")</f>
        <v/>
      </c>
      <c r="T322" s="14">
        <f>IFERROR((T271-O271)/O271,"-")</f>
        <v/>
      </c>
      <c r="U322" s="14">
        <f>IFERROR((U271-P271)/P271,"-")</f>
        <v/>
      </c>
      <c r="V322" s="14">
        <f>IFERROR((V271-Q271)/Q271,"-")</f>
        <v/>
      </c>
      <c r="W322" s="8" t="n"/>
      <c r="X322" s="22">
        <f>IFERROR((X271-S271)/S271,"-")</f>
        <v/>
      </c>
    </row>
    <row r="323">
      <c r="A323" s="9" t="inlineStr">
        <is>
          <t>CDNS</t>
        </is>
      </c>
      <c r="D323" s="7" t="n"/>
      <c r="H323" s="8" t="n"/>
      <c r="I323" s="22">
        <f>IFERROR((I272-D272)/D272,"-")</f>
        <v/>
      </c>
      <c r="J323" s="14">
        <f>IFERROR((J272-E272)/E272,"-")</f>
        <v/>
      </c>
      <c r="K323" s="14">
        <f>IFERROR((K272-F272)/F272,"-")</f>
        <v/>
      </c>
      <c r="L323" s="14">
        <f>IFERROR((L272-G272)/G272,"-")</f>
        <v/>
      </c>
      <c r="M323" s="8" t="n"/>
      <c r="N323" s="22">
        <f>IFERROR((N272-I272)/I272,"-")</f>
        <v/>
      </c>
      <c r="O323" s="14">
        <f>IFERROR((O272-J272)/J272,"-")</f>
        <v/>
      </c>
      <c r="P323" s="14">
        <f>IFERROR((P272-K272)/K272,"-")</f>
        <v/>
      </c>
      <c r="Q323" s="14">
        <f>IFERROR((Q272-L272)/L272,"-")</f>
        <v/>
      </c>
      <c r="R323" s="8" t="n"/>
      <c r="S323" s="22">
        <f>IFERROR((S272-N272)/N272,"-")</f>
        <v/>
      </c>
      <c r="T323" s="14">
        <f>IFERROR((T272-O272)/O272,"-")</f>
        <v/>
      </c>
      <c r="U323" s="14">
        <f>IFERROR((U272-P272)/P272,"-")</f>
        <v/>
      </c>
      <c r="V323" s="14">
        <f>IFERROR((V272-Q272)/Q272,"-")</f>
        <v/>
      </c>
      <c r="W323" s="8" t="n"/>
      <c r="X323" s="22">
        <f>IFERROR((X272-S272)/S272,"-")</f>
        <v/>
      </c>
    </row>
    <row r="324">
      <c r="A324" s="9" t="inlineStr">
        <is>
          <t>CRWD</t>
        </is>
      </c>
      <c r="D324" s="7" t="n"/>
      <c r="H324" s="8" t="n"/>
      <c r="I324" s="22">
        <f>IFERROR((I273-D273)/D273,"-")</f>
        <v/>
      </c>
      <c r="J324" s="14">
        <f>IFERROR((J273-E273)/E273,"-")</f>
        <v/>
      </c>
      <c r="K324" s="14">
        <f>IFERROR((K273-F273)/F273,"-")</f>
        <v/>
      </c>
      <c r="L324" s="14">
        <f>IFERROR((L273-G273)/G273,"-")</f>
        <v/>
      </c>
      <c r="M324" s="8" t="n"/>
      <c r="N324" s="22">
        <f>IFERROR((N273-I273)/I273,"-")</f>
        <v/>
      </c>
      <c r="O324" s="14">
        <f>IFERROR((O273-J273)/J273,"-")</f>
        <v/>
      </c>
      <c r="P324" s="14">
        <f>IFERROR((P273-K273)/K273,"-")</f>
        <v/>
      </c>
      <c r="Q324" s="14">
        <f>IFERROR((Q273-L273)/L273,"-")</f>
        <v/>
      </c>
      <c r="R324" s="8" t="n"/>
      <c r="S324" s="22">
        <f>IFERROR((S273-N273)/N273,"-")</f>
        <v/>
      </c>
      <c r="T324" s="14">
        <f>IFERROR((T273-O273)/O273,"-")</f>
        <v/>
      </c>
      <c r="U324" s="14">
        <f>IFERROR((U273-P273)/P273,"-")</f>
        <v/>
      </c>
      <c r="V324" s="14">
        <f>IFERROR((V273-Q273)/Q273,"-")</f>
        <v/>
      </c>
      <c r="W324" s="8" t="n"/>
      <c r="X324" s="22">
        <f>IFERROR((X273-S273)/S273,"-")</f>
        <v/>
      </c>
    </row>
    <row r="325">
      <c r="A325" s="9" t="inlineStr">
        <is>
          <t>SNOW</t>
        </is>
      </c>
      <c r="D325" s="7" t="n"/>
      <c r="H325" s="8" t="n"/>
      <c r="I325" s="22">
        <f>IFERROR((I274-D274)/D274,"-")</f>
        <v/>
      </c>
      <c r="J325" s="14">
        <f>IFERROR((J274-E274)/E274,"-")</f>
        <v/>
      </c>
      <c r="K325" s="14">
        <f>IFERROR((K274-F274)/F274,"-")</f>
        <v/>
      </c>
      <c r="L325" s="14">
        <f>IFERROR((L274-G274)/G274,"-")</f>
        <v/>
      </c>
      <c r="M325" s="8" t="n"/>
      <c r="N325" s="22">
        <f>IFERROR((N274-I274)/I274,"-")</f>
        <v/>
      </c>
      <c r="O325" s="14">
        <f>IFERROR((O274-J274)/J274,"-")</f>
        <v/>
      </c>
      <c r="P325" s="14">
        <f>IFERROR((P274-K274)/K274,"-")</f>
        <v/>
      </c>
      <c r="Q325" s="14">
        <f>IFERROR((Q274-L274)/L274,"-")</f>
        <v/>
      </c>
      <c r="R325" s="8" t="n"/>
      <c r="S325" s="22">
        <f>IFERROR((S274-N274)/N274,"-")</f>
        <v/>
      </c>
      <c r="T325" s="14">
        <f>IFERROR((T274-O274)/O274,"-")</f>
        <v/>
      </c>
      <c r="U325" s="14">
        <f>IFERROR((U274-P274)/P274,"-")</f>
        <v/>
      </c>
      <c r="V325" s="14">
        <f>IFERROR((V274-Q274)/Q274,"-")</f>
        <v/>
      </c>
      <c r="W325" s="8" t="n"/>
      <c r="X325" s="22">
        <f>IFERROR((X274-S274)/S274,"-")</f>
        <v/>
      </c>
    </row>
    <row r="326">
      <c r="A326" s="9" t="inlineStr">
        <is>
          <t>PLTR</t>
        </is>
      </c>
      <c r="D326" s="7" t="n"/>
      <c r="H326" s="8" t="n"/>
      <c r="I326" s="22">
        <f>IFERROR((I275-D275)/D275,"-")</f>
        <v/>
      </c>
      <c r="J326" s="14">
        <f>IFERROR((J275-E275)/E275,"-")</f>
        <v/>
      </c>
      <c r="K326" s="14">
        <f>IFERROR((K275-F275)/F275,"-")</f>
        <v/>
      </c>
      <c r="L326" s="14">
        <f>IFERROR((L275-G275)/G275,"-")</f>
        <v/>
      </c>
      <c r="M326" s="8" t="n"/>
      <c r="N326" s="22">
        <f>IFERROR((N275-I275)/I275,"-")</f>
        <v/>
      </c>
      <c r="O326" s="14">
        <f>IFERROR((O275-J275)/J275,"-")</f>
        <v/>
      </c>
      <c r="P326" s="14">
        <f>IFERROR((P275-K275)/K275,"-")</f>
        <v/>
      </c>
      <c r="Q326" s="14">
        <f>IFERROR((Q275-L275)/L275,"-")</f>
        <v/>
      </c>
      <c r="R326" s="8" t="n"/>
      <c r="S326" s="22">
        <f>IFERROR((S275-N275)/N275,"-")</f>
        <v/>
      </c>
      <c r="T326" s="14">
        <f>IFERROR((T275-O275)/O275,"-")</f>
        <v/>
      </c>
      <c r="U326" s="14">
        <f>IFERROR((U275-P275)/P275,"-")</f>
        <v/>
      </c>
      <c r="V326" s="14">
        <f>IFERROR((V275-Q275)/Q275,"-")</f>
        <v/>
      </c>
      <c r="W326" s="8" t="n"/>
      <c r="X326" s="22">
        <f>IFERROR((X275-S275)/S275,"-")</f>
        <v/>
      </c>
    </row>
    <row r="327">
      <c r="A327" s="9" t="inlineStr">
        <is>
          <t>DDOG</t>
        </is>
      </c>
      <c r="D327" s="7" t="n"/>
      <c r="H327" s="8" t="n"/>
      <c r="I327" s="22">
        <f>IFERROR((I276-D276)/D276,"-")</f>
        <v/>
      </c>
      <c r="J327" s="14">
        <f>IFERROR((J276-E276)/E276,"-")</f>
        <v/>
      </c>
      <c r="K327" s="14">
        <f>IFERROR((K276-F276)/F276,"-")</f>
        <v/>
      </c>
      <c r="L327" s="14">
        <f>IFERROR((L276-G276)/G276,"-")</f>
        <v/>
      </c>
      <c r="M327" s="8" t="n"/>
      <c r="N327" s="22">
        <f>IFERROR((N276-I276)/I276,"-")</f>
        <v/>
      </c>
      <c r="O327" s="14">
        <f>IFERROR((O276-J276)/J276,"-")</f>
        <v/>
      </c>
      <c r="P327" s="14">
        <f>IFERROR((P276-K276)/K276,"-")</f>
        <v/>
      </c>
      <c r="Q327" s="14">
        <f>IFERROR((Q276-L276)/L276,"-")</f>
        <v/>
      </c>
      <c r="R327" s="8" t="n"/>
      <c r="S327" s="22">
        <f>IFERROR((S276-N276)/N276,"-")</f>
        <v/>
      </c>
      <c r="T327" s="14">
        <f>IFERROR((T276-O276)/O276,"-")</f>
        <v/>
      </c>
      <c r="U327" s="14">
        <f>IFERROR((U276-P276)/P276,"-")</f>
        <v/>
      </c>
      <c r="V327" s="14">
        <f>IFERROR((V276-Q276)/Q276,"-")</f>
        <v/>
      </c>
      <c r="W327" s="8" t="n"/>
      <c r="X327" s="22">
        <f>IFERROR((X276-S276)/S276,"-")</f>
        <v/>
      </c>
    </row>
    <row r="328">
      <c r="A328" s="9" t="inlineStr">
        <is>
          <t>VEEV</t>
        </is>
      </c>
      <c r="D328" s="7" t="n"/>
      <c r="H328" s="8" t="n"/>
      <c r="I328" s="22">
        <f>IFERROR((I277-D277)/D277,"-")</f>
        <v/>
      </c>
      <c r="J328" s="14">
        <f>IFERROR((J277-E277)/E277,"-")</f>
        <v/>
      </c>
      <c r="K328" s="14">
        <f>IFERROR((K277-F277)/F277,"-")</f>
        <v/>
      </c>
      <c r="L328" s="14">
        <f>IFERROR((L277-G277)/G277,"-")</f>
        <v/>
      </c>
      <c r="M328" s="8" t="n"/>
      <c r="N328" s="22">
        <f>IFERROR((N277-I277)/I277,"-")</f>
        <v/>
      </c>
      <c r="O328" s="14">
        <f>IFERROR((O277-J277)/J277,"-")</f>
        <v/>
      </c>
      <c r="P328" s="14">
        <f>IFERROR((P277-K277)/K277,"-")</f>
        <v/>
      </c>
      <c r="Q328" s="14">
        <f>IFERROR((Q277-L277)/L277,"-")</f>
        <v/>
      </c>
      <c r="R328" s="8" t="n"/>
      <c r="S328" s="22">
        <f>IFERROR((S277-N277)/N277,"-")</f>
        <v/>
      </c>
      <c r="T328" s="14">
        <f>IFERROR((T277-O277)/O277,"-")</f>
        <v/>
      </c>
      <c r="U328" s="14">
        <f>IFERROR((U277-P277)/P277,"-")</f>
        <v/>
      </c>
      <c r="V328" s="14">
        <f>IFERROR((V277-Q277)/Q277,"-")</f>
        <v/>
      </c>
      <c r="W328" s="8" t="n"/>
      <c r="X328" s="22">
        <f>IFERROR((X277-S277)/S277,"-")</f>
        <v/>
      </c>
    </row>
    <row r="329">
      <c r="A329" s="9" t="inlineStr">
        <is>
          <t>HUBS</t>
        </is>
      </c>
      <c r="D329" s="7" t="n"/>
      <c r="H329" s="8" t="n"/>
      <c r="I329" s="22">
        <f>IFERROR((I278-D278)/D278,"-")</f>
        <v/>
      </c>
      <c r="J329" s="14">
        <f>IFERROR((J278-E278)/E278,"-")</f>
        <v/>
      </c>
      <c r="K329" s="14">
        <f>IFERROR((K278-F278)/F278,"-")</f>
        <v/>
      </c>
      <c r="L329" s="14">
        <f>IFERROR((L278-G278)/G278,"-")</f>
        <v/>
      </c>
      <c r="M329" s="8" t="n"/>
      <c r="N329" s="22">
        <f>IFERROR((N278-I278)/I278,"-")</f>
        <v/>
      </c>
      <c r="O329" s="14">
        <f>IFERROR((O278-J278)/J278,"-")</f>
        <v/>
      </c>
      <c r="P329" s="14">
        <f>IFERROR((P278-K278)/K278,"-")</f>
        <v/>
      </c>
      <c r="Q329" s="14">
        <f>IFERROR((Q278-L278)/L278,"-")</f>
        <v/>
      </c>
      <c r="R329" s="8" t="n"/>
      <c r="S329" s="22">
        <f>IFERROR((S278-N278)/N278,"-")</f>
        <v/>
      </c>
      <c r="T329" s="14">
        <f>IFERROR((T278-O278)/O278,"-")</f>
        <v/>
      </c>
      <c r="U329" s="14">
        <f>IFERROR((U278-P278)/P278,"-")</f>
        <v/>
      </c>
      <c r="V329" s="14">
        <f>IFERROR((V278-Q278)/Q278,"-")</f>
        <v/>
      </c>
      <c r="W329" s="8" t="n"/>
      <c r="X329" s="22">
        <f>IFERROR((X278-S278)/S278,"-")</f>
        <v/>
      </c>
    </row>
    <row r="330">
      <c r="A330" s="9" t="inlineStr">
        <is>
          <t>ZS</t>
        </is>
      </c>
      <c r="D330" s="7" t="n"/>
      <c r="H330" s="8" t="n"/>
      <c r="I330" s="22">
        <f>IFERROR((I279-D279)/D279,"-")</f>
        <v/>
      </c>
      <c r="J330" s="14">
        <f>IFERROR((J279-E279)/E279,"-")</f>
        <v/>
      </c>
      <c r="K330" s="14">
        <f>IFERROR((K279-F279)/F279,"-")</f>
        <v/>
      </c>
      <c r="L330" s="14">
        <f>IFERROR((L279-G279)/G279,"-")</f>
        <v/>
      </c>
      <c r="M330" s="8" t="n"/>
      <c r="N330" s="22">
        <f>IFERROR((N279-I279)/I279,"-")</f>
        <v/>
      </c>
      <c r="O330" s="14">
        <f>IFERROR((O279-J279)/J279,"-")</f>
        <v/>
      </c>
      <c r="P330" s="14">
        <f>IFERROR((P279-K279)/K279,"-")</f>
        <v/>
      </c>
      <c r="Q330" s="14">
        <f>IFERROR((Q279-L279)/L279,"-")</f>
        <v/>
      </c>
      <c r="R330" s="8" t="n"/>
      <c r="S330" s="22">
        <f>IFERROR((S279-N279)/N279,"-")</f>
        <v/>
      </c>
      <c r="T330" s="14">
        <f>IFERROR((T279-O279)/O279,"-")</f>
        <v/>
      </c>
      <c r="U330" s="14">
        <f>IFERROR((U279-P279)/P279,"-")</f>
        <v/>
      </c>
      <c r="V330" s="14">
        <f>IFERROR((V279-Q279)/Q279,"-")</f>
        <v/>
      </c>
      <c r="W330" s="8" t="n"/>
      <c r="X330" s="22">
        <f>IFERROR((X279-S279)/S279,"-")</f>
        <v/>
      </c>
    </row>
    <row r="331">
      <c r="A331" s="9" t="inlineStr">
        <is>
          <t>OKTA</t>
        </is>
      </c>
      <c r="D331" s="7" t="n"/>
      <c r="H331" s="8" t="n"/>
      <c r="I331" s="22">
        <f>IFERROR((I280-D280)/D280,"-")</f>
        <v/>
      </c>
      <c r="J331" s="14">
        <f>IFERROR((J280-E280)/E280,"-")</f>
        <v/>
      </c>
      <c r="K331" s="14">
        <f>IFERROR((K280-F280)/F280,"-")</f>
        <v/>
      </c>
      <c r="L331" s="14">
        <f>IFERROR((L280-G280)/G280,"-")</f>
        <v/>
      </c>
      <c r="M331" s="8" t="n"/>
      <c r="N331" s="22">
        <f>IFERROR((N280-I280)/I280,"-")</f>
        <v/>
      </c>
      <c r="O331" s="14">
        <f>IFERROR((O280-J280)/J280,"-")</f>
        <v/>
      </c>
      <c r="P331" s="14">
        <f>IFERROR((P280-K280)/K280,"-")</f>
        <v/>
      </c>
      <c r="Q331" s="14">
        <f>IFERROR((Q280-L280)/L280,"-")</f>
        <v/>
      </c>
      <c r="R331" s="8" t="n"/>
      <c r="S331" s="22">
        <f>IFERROR((S280-N280)/N280,"-")</f>
        <v/>
      </c>
      <c r="T331" s="14">
        <f>IFERROR((T280-O280)/O280,"-")</f>
        <v/>
      </c>
      <c r="U331" s="14">
        <f>IFERROR((U280-P280)/P280,"-")</f>
        <v/>
      </c>
      <c r="V331" s="14">
        <f>IFERROR((V280-Q280)/Q280,"-")</f>
        <v/>
      </c>
      <c r="W331" s="8" t="n"/>
      <c r="X331" s="22">
        <f>IFERROR((X280-S280)/S280,"-")</f>
        <v/>
      </c>
    </row>
    <row r="332">
      <c r="A332" s="9" t="inlineStr">
        <is>
          <t>TTD</t>
        </is>
      </c>
      <c r="D332" s="7" t="n"/>
      <c r="H332" s="8" t="n"/>
      <c r="I332" s="22">
        <f>IFERROR((I281-D281)/D281,"-")</f>
        <v/>
      </c>
      <c r="J332" s="14">
        <f>IFERROR((J281-E281)/E281,"-")</f>
        <v/>
      </c>
      <c r="K332" s="14">
        <f>IFERROR((K281-F281)/F281,"-")</f>
        <v/>
      </c>
      <c r="L332" s="14">
        <f>IFERROR((L281-G281)/G281,"-")</f>
        <v/>
      </c>
      <c r="M332" s="8" t="n"/>
      <c r="N332" s="22">
        <f>IFERROR((N281-I281)/I281,"-")</f>
        <v/>
      </c>
      <c r="O332" s="14">
        <f>IFERROR((O281-J281)/J281,"-")</f>
        <v/>
      </c>
      <c r="P332" s="14">
        <f>IFERROR((P281-K281)/K281,"-")</f>
        <v/>
      </c>
      <c r="Q332" s="14">
        <f>IFERROR((Q281-L281)/L281,"-")</f>
        <v/>
      </c>
      <c r="R332" s="8" t="n"/>
      <c r="S332" s="22">
        <f>IFERROR((S281-N281)/N281,"-")</f>
        <v/>
      </c>
      <c r="T332" s="14">
        <f>IFERROR((T281-O281)/O281,"-")</f>
        <v/>
      </c>
      <c r="U332" s="14">
        <f>IFERROR((U281-P281)/P281,"-")</f>
        <v/>
      </c>
      <c r="V332" s="14">
        <f>IFERROR((V281-Q281)/Q281,"-")</f>
        <v/>
      </c>
      <c r="W332" s="8" t="n"/>
      <c r="X332" s="22">
        <f>IFERROR((X281-S281)/S281,"-")</f>
        <v/>
      </c>
    </row>
    <row r="333">
      <c r="A333" s="9" t="inlineStr">
        <is>
          <t>MDB</t>
        </is>
      </c>
      <c r="D333" s="7" t="n"/>
      <c r="H333" s="8" t="n"/>
      <c r="I333" s="22">
        <f>IFERROR((I282-D282)/D282,"-")</f>
        <v/>
      </c>
      <c r="J333" s="14">
        <f>IFERROR((J282-E282)/E282,"-")</f>
        <v/>
      </c>
      <c r="K333" s="14">
        <f>IFERROR((K282-F282)/F282,"-")</f>
        <v/>
      </c>
      <c r="L333" s="14">
        <f>IFERROR((L282-G282)/G282,"-")</f>
        <v/>
      </c>
      <c r="M333" s="8" t="n"/>
      <c r="N333" s="22">
        <f>IFERROR((N282-I282)/I282,"-")</f>
        <v/>
      </c>
      <c r="O333" s="14">
        <f>IFERROR((O282-J282)/J282,"-")</f>
        <v/>
      </c>
      <c r="P333" s="14">
        <f>IFERROR((P282-K282)/K282,"-")</f>
        <v/>
      </c>
      <c r="Q333" s="14">
        <f>IFERROR((Q282-L282)/L282,"-")</f>
        <v/>
      </c>
      <c r="R333" s="8" t="n"/>
      <c r="S333" s="22">
        <f>IFERROR((S282-N282)/N282,"-")</f>
        <v/>
      </c>
      <c r="T333" s="14">
        <f>IFERROR((T282-O282)/O282,"-")</f>
        <v/>
      </c>
      <c r="U333" s="14">
        <f>IFERROR((U282-P282)/P282,"-")</f>
        <v/>
      </c>
      <c r="V333" s="14">
        <f>IFERROR((V282-Q282)/Q282,"-")</f>
        <v/>
      </c>
      <c r="W333" s="8" t="n"/>
      <c r="X333" s="22">
        <f>IFERROR((X282-S282)/S282,"-")</f>
        <v/>
      </c>
    </row>
    <row r="334">
      <c r="A334" s="9" t="inlineStr">
        <is>
          <t>PAYC</t>
        </is>
      </c>
      <c r="D334" s="7" t="n"/>
      <c r="H334" s="8" t="n"/>
      <c r="I334" s="22">
        <f>IFERROR((I283-D283)/D283,"-")</f>
        <v/>
      </c>
      <c r="J334" s="14">
        <f>IFERROR((J283-E283)/E283,"-")</f>
        <v/>
      </c>
      <c r="K334" s="14">
        <f>IFERROR((K283-F283)/F283,"-")</f>
        <v/>
      </c>
      <c r="L334" s="14">
        <f>IFERROR((L283-G283)/G283,"-")</f>
        <v/>
      </c>
      <c r="M334" s="8" t="n"/>
      <c r="N334" s="22">
        <f>IFERROR((N283-I283)/I283,"-")</f>
        <v/>
      </c>
      <c r="O334" s="14">
        <f>IFERROR((O283-J283)/J283,"-")</f>
        <v/>
      </c>
      <c r="P334" s="14">
        <f>IFERROR((P283-K283)/K283,"-")</f>
        <v/>
      </c>
      <c r="Q334" s="14">
        <f>IFERROR((Q283-L283)/L283,"-")</f>
        <v/>
      </c>
      <c r="R334" s="8" t="n"/>
      <c r="S334" s="22">
        <f>IFERROR((S283-N283)/N283,"-")</f>
        <v/>
      </c>
      <c r="T334" s="14">
        <f>IFERROR((T283-O283)/O283,"-")</f>
        <v/>
      </c>
      <c r="U334" s="14">
        <f>IFERROR((U283-P283)/P283,"-")</f>
        <v/>
      </c>
      <c r="V334" s="14">
        <f>IFERROR((V283-Q283)/Q283,"-")</f>
        <v/>
      </c>
      <c r="W334" s="8" t="n"/>
      <c r="X334" s="22">
        <f>IFERROR((X283-S283)/S283,"-")</f>
        <v/>
      </c>
    </row>
    <row r="335">
      <c r="A335" s="9" t="inlineStr">
        <is>
          <t>DT</t>
        </is>
      </c>
      <c r="D335" s="7" t="n"/>
      <c r="H335" s="8" t="n"/>
      <c r="I335" s="22">
        <f>IFERROR((I284-D284)/D284,"-")</f>
        <v/>
      </c>
      <c r="J335" s="14">
        <f>IFERROR((J284-E284)/E284,"-")</f>
        <v/>
      </c>
      <c r="K335" s="14">
        <f>IFERROR((K284-F284)/F284,"-")</f>
        <v/>
      </c>
      <c r="L335" s="14">
        <f>IFERROR((L284-G284)/G284,"-")</f>
        <v/>
      </c>
      <c r="M335" s="8" t="n"/>
      <c r="N335" s="22">
        <f>IFERROR((N284-I284)/I284,"-")</f>
        <v/>
      </c>
      <c r="O335" s="14">
        <f>IFERROR((O284-J284)/J284,"-")</f>
        <v/>
      </c>
      <c r="P335" s="14">
        <f>IFERROR((P284-K284)/K284,"-")</f>
        <v/>
      </c>
      <c r="Q335" s="14">
        <f>IFERROR((Q284-L284)/L284,"-")</f>
        <v/>
      </c>
      <c r="R335" s="8" t="n"/>
      <c r="S335" s="22">
        <f>IFERROR((S284-N284)/N284,"-")</f>
        <v/>
      </c>
      <c r="T335" s="14">
        <f>IFERROR((T284-O284)/O284,"-")</f>
        <v/>
      </c>
      <c r="U335" s="14">
        <f>IFERROR((U284-P284)/P284,"-")</f>
        <v/>
      </c>
      <c r="V335" s="14">
        <f>IFERROR((V284-Q284)/Q284,"-")</f>
        <v/>
      </c>
      <c r="W335" s="8" t="n"/>
      <c r="X335" s="22">
        <f>IFERROR((X284-S284)/S284,"-")</f>
        <v/>
      </c>
    </row>
    <row r="336">
      <c r="A336" s="9" t="inlineStr">
        <is>
          <t>PCTY</t>
        </is>
      </c>
      <c r="D336" s="7" t="n"/>
      <c r="H336" s="8" t="n"/>
      <c r="I336" s="22">
        <f>IFERROR((I285-D285)/D285,"-")</f>
        <v/>
      </c>
      <c r="J336" s="14">
        <f>IFERROR((J285-E285)/E285,"-")</f>
        <v/>
      </c>
      <c r="K336" s="14">
        <f>IFERROR((K285-F285)/F285,"-")</f>
        <v/>
      </c>
      <c r="L336" s="14">
        <f>IFERROR((L285-G285)/G285,"-")</f>
        <v/>
      </c>
      <c r="M336" s="8" t="n"/>
      <c r="N336" s="22">
        <f>IFERROR((N285-I285)/I285,"-")</f>
        <v/>
      </c>
      <c r="O336" s="14">
        <f>IFERROR((O285-J285)/J285,"-")</f>
        <v/>
      </c>
      <c r="P336" s="14">
        <f>IFERROR((P285-K285)/K285,"-")</f>
        <v/>
      </c>
      <c r="Q336" s="14">
        <f>IFERROR((Q285-L285)/L285,"-")</f>
        <v/>
      </c>
      <c r="R336" s="8" t="n"/>
      <c r="S336" s="22">
        <f>IFERROR((S285-N285)/N285,"-")</f>
        <v/>
      </c>
      <c r="T336" s="14">
        <f>IFERROR((T285-O285)/O285,"-")</f>
        <v/>
      </c>
      <c r="U336" s="14">
        <f>IFERROR((U285-P285)/P285,"-")</f>
        <v/>
      </c>
      <c r="V336" s="14">
        <f>IFERROR((V285-Q285)/Q285,"-")</f>
        <v/>
      </c>
      <c r="W336" s="8" t="n"/>
      <c r="X336" s="22">
        <f>IFERROR((X285-S285)/S285,"-")</f>
        <v/>
      </c>
    </row>
    <row r="337">
      <c r="A337" s="9" t="inlineStr">
        <is>
          <t>ESTC</t>
        </is>
      </c>
      <c r="D337" s="7" t="n"/>
      <c r="H337" s="8" t="n"/>
      <c r="I337" s="22">
        <f>IFERROR((I286-D286)/D286,"-")</f>
        <v/>
      </c>
      <c r="J337" s="14">
        <f>IFERROR((J286-E286)/E286,"-")</f>
        <v/>
      </c>
      <c r="K337" s="14">
        <f>IFERROR((K286-F286)/F286,"-")</f>
        <v/>
      </c>
      <c r="L337" s="14">
        <f>IFERROR((L286-G286)/G286,"-")</f>
        <v/>
      </c>
      <c r="M337" s="8" t="n"/>
      <c r="N337" s="22">
        <f>IFERROR((N286-I286)/I286,"-")</f>
        <v/>
      </c>
      <c r="O337" s="14">
        <f>IFERROR((O286-J286)/J286,"-")</f>
        <v/>
      </c>
      <c r="P337" s="14">
        <f>IFERROR((P286-K286)/K286,"-")</f>
        <v/>
      </c>
      <c r="Q337" s="14">
        <f>IFERROR((Q286-L286)/L286,"-")</f>
        <v/>
      </c>
      <c r="R337" s="8" t="n"/>
      <c r="S337" s="22">
        <f>IFERROR((S286-N286)/N286,"-")</f>
        <v/>
      </c>
      <c r="T337" s="14">
        <f>IFERROR((T286-O286)/O286,"-")</f>
        <v/>
      </c>
      <c r="U337" s="14">
        <f>IFERROR((U286-P286)/P286,"-")</f>
        <v/>
      </c>
      <c r="V337" s="14">
        <f>IFERROR((V286-Q286)/Q286,"-")</f>
        <v/>
      </c>
      <c r="W337" s="8" t="n"/>
      <c r="X337" s="22">
        <f>IFERROR((X286-S286)/S286,"-")</f>
        <v/>
      </c>
    </row>
    <row r="338">
      <c r="A338" s="9" t="inlineStr">
        <is>
          <t>BILL</t>
        </is>
      </c>
      <c r="D338" s="7" t="n"/>
      <c r="H338" s="8" t="n"/>
      <c r="I338" s="22">
        <f>IFERROR((I287-D287)/D287,"-")</f>
        <v/>
      </c>
      <c r="J338" s="14">
        <f>IFERROR((J287-E287)/E287,"-")</f>
        <v/>
      </c>
      <c r="K338" s="14">
        <f>IFERROR((K287-F287)/F287,"-")</f>
        <v/>
      </c>
      <c r="L338" s="14">
        <f>IFERROR((L287-G287)/G287,"-")</f>
        <v/>
      </c>
      <c r="M338" s="8" t="n"/>
      <c r="N338" s="22">
        <f>IFERROR((N287-I287)/I287,"-")</f>
        <v/>
      </c>
      <c r="O338" s="14">
        <f>IFERROR((O287-J287)/J287,"-")</f>
        <v/>
      </c>
      <c r="P338" s="14">
        <f>IFERROR((P287-K287)/K287,"-")</f>
        <v/>
      </c>
      <c r="Q338" s="14">
        <f>IFERROR((Q287-L287)/L287,"-")</f>
        <v/>
      </c>
      <c r="R338" s="8" t="n"/>
      <c r="S338" s="22">
        <f>IFERROR((S287-N287)/N287,"-")</f>
        <v/>
      </c>
      <c r="T338" s="14">
        <f>IFERROR((T287-O287)/O287,"-")</f>
        <v/>
      </c>
      <c r="U338" s="14">
        <f>IFERROR((U287-P287)/P287,"-")</f>
        <v/>
      </c>
      <c r="V338" s="14">
        <f>IFERROR((V287-Q287)/Q287,"-")</f>
        <v/>
      </c>
      <c r="W338" s="8" t="n"/>
      <c r="X338" s="22">
        <f>IFERROR((X287-S287)/S287,"-")</f>
        <v/>
      </c>
    </row>
    <row r="339">
      <c r="A339" s="9" t="inlineStr">
        <is>
          <t>BSY</t>
        </is>
      </c>
      <c r="D339" s="7" t="n"/>
      <c r="H339" s="8" t="n"/>
      <c r="I339" s="22">
        <f>IFERROR((I288-D288)/D288,"-")</f>
        <v/>
      </c>
      <c r="J339" s="14">
        <f>IFERROR((J288-E288)/E288,"-")</f>
        <v/>
      </c>
      <c r="K339" s="14">
        <f>IFERROR((K288-F288)/F288,"-")</f>
        <v/>
      </c>
      <c r="L339" s="14">
        <f>IFERROR((L288-G288)/G288,"-")</f>
        <v/>
      </c>
      <c r="M339" s="8" t="n"/>
      <c r="N339" s="22">
        <f>IFERROR((N288-I288)/I288,"-")</f>
        <v/>
      </c>
      <c r="O339" s="14">
        <f>IFERROR((O288-J288)/J288,"-")</f>
        <v/>
      </c>
      <c r="P339" s="14">
        <f>IFERROR((P288-K288)/K288,"-")</f>
        <v/>
      </c>
      <c r="Q339" s="14">
        <f>IFERROR((Q288-L288)/L288,"-")</f>
        <v/>
      </c>
      <c r="R339" s="8" t="n"/>
      <c r="S339" s="22">
        <f>IFERROR((S288-N288)/N288,"-")</f>
        <v/>
      </c>
      <c r="T339" s="14">
        <f>IFERROR((T288-O288)/O288,"-")</f>
        <v/>
      </c>
      <c r="U339" s="14">
        <f>IFERROR((U288-P288)/P288,"-")</f>
        <v/>
      </c>
      <c r="V339" s="14">
        <f>IFERROR((V288-Q288)/Q288,"-")</f>
        <v/>
      </c>
      <c r="W339" s="8" t="n"/>
      <c r="X339" s="22">
        <f>IFERROR((X288-S288)/S288,"-")</f>
        <v/>
      </c>
    </row>
    <row r="340">
      <c r="A340" s="9" t="inlineStr">
        <is>
          <t>GWRE</t>
        </is>
      </c>
      <c r="D340" s="7" t="n"/>
      <c r="H340" s="8" t="n"/>
      <c r="I340" s="22">
        <f>IFERROR((I289-D289)/D289,"-")</f>
        <v/>
      </c>
      <c r="J340" s="14">
        <f>IFERROR((J289-E289)/E289,"-")</f>
        <v/>
      </c>
      <c r="K340" s="14">
        <f>IFERROR((K289-F289)/F289,"-")</f>
        <v/>
      </c>
      <c r="L340" s="14">
        <f>IFERROR((L289-G289)/G289,"-")</f>
        <v/>
      </c>
      <c r="M340" s="8" t="n"/>
      <c r="N340" s="22">
        <f>IFERROR((N289-I289)/I289,"-")</f>
        <v/>
      </c>
      <c r="O340" s="14">
        <f>IFERROR((O289-J289)/J289,"-")</f>
        <v/>
      </c>
      <c r="P340" s="14">
        <f>IFERROR((P289-K289)/K289,"-")</f>
        <v/>
      </c>
      <c r="Q340" s="14">
        <f>IFERROR((Q289-L289)/L289,"-")</f>
        <v/>
      </c>
      <c r="R340" s="8" t="n"/>
      <c r="S340" s="22">
        <f>IFERROR((S289-N289)/N289,"-")</f>
        <v/>
      </c>
      <c r="T340" s="14">
        <f>IFERROR((T289-O289)/O289,"-")</f>
        <v/>
      </c>
      <c r="U340" s="14">
        <f>IFERROR((U289-P289)/P289,"-")</f>
        <v/>
      </c>
      <c r="V340" s="14">
        <f>IFERROR((V289-Q289)/Q289,"-")</f>
        <v/>
      </c>
      <c r="W340" s="8" t="n"/>
      <c r="X340" s="22">
        <f>IFERROR((X289-S289)/S289,"-")</f>
        <v/>
      </c>
    </row>
    <row r="341">
      <c r="A341" s="9" t="inlineStr">
        <is>
          <t>PCOR</t>
        </is>
      </c>
      <c r="D341" s="7" t="n"/>
      <c r="H341" s="8" t="n"/>
      <c r="I341" s="22">
        <f>IFERROR((I290-D290)/D290,"-")</f>
        <v/>
      </c>
      <c r="J341" s="14">
        <f>IFERROR((J290-E290)/E290,"-")</f>
        <v/>
      </c>
      <c r="K341" s="14">
        <f>IFERROR((K290-F290)/F290,"-")</f>
        <v/>
      </c>
      <c r="L341" s="14">
        <f>IFERROR((L290-G290)/G290,"-")</f>
        <v/>
      </c>
      <c r="M341" s="8" t="n"/>
      <c r="N341" s="22">
        <f>IFERROR((N290-I290)/I290,"-")</f>
        <v/>
      </c>
      <c r="O341" s="14">
        <f>IFERROR((O290-J290)/J290,"-")</f>
        <v/>
      </c>
      <c r="P341" s="14">
        <f>IFERROR((P290-K290)/K290,"-")</f>
        <v/>
      </c>
      <c r="Q341" s="14">
        <f>IFERROR((Q290-L290)/L290,"-")</f>
        <v/>
      </c>
      <c r="R341" s="8" t="n"/>
      <c r="S341" s="22">
        <f>IFERROR((S290-N290)/N290,"-")</f>
        <v/>
      </c>
      <c r="T341" s="14">
        <f>IFERROR((T290-O290)/O290,"-")</f>
        <v/>
      </c>
      <c r="U341" s="14">
        <f>IFERROR((U290-P290)/P290,"-")</f>
        <v/>
      </c>
      <c r="V341" s="14">
        <f>IFERROR((V290-Q290)/Q290,"-")</f>
        <v/>
      </c>
      <c r="W341" s="8" t="n"/>
      <c r="X341" s="22">
        <f>IFERROR((X290-S290)/S290,"-")</f>
        <v/>
      </c>
    </row>
    <row r="342">
      <c r="A342" s="9" t="inlineStr">
        <is>
          <t>ZI</t>
        </is>
      </c>
      <c r="D342" s="7" t="n"/>
      <c r="H342" s="8" t="n"/>
      <c r="I342" s="22">
        <f>IFERROR((I291-D291)/D291,"-")</f>
        <v/>
      </c>
      <c r="J342" s="14">
        <f>IFERROR((J291-E291)/E291,"-")</f>
        <v/>
      </c>
      <c r="K342" s="14">
        <f>IFERROR((K291-F291)/F291,"-")</f>
        <v/>
      </c>
      <c r="L342" s="14">
        <f>IFERROR((L291-G291)/G291,"-")</f>
        <v/>
      </c>
      <c r="M342" s="8" t="n"/>
      <c r="N342" s="22">
        <f>IFERROR((N291-I291)/I291,"-")</f>
        <v/>
      </c>
      <c r="O342" s="14">
        <f>IFERROR((O291-J291)/J291,"-")</f>
        <v/>
      </c>
      <c r="P342" s="14">
        <f>IFERROR((P291-K291)/K291,"-")</f>
        <v/>
      </c>
      <c r="Q342" s="14">
        <f>IFERROR((Q291-L291)/L291,"-")</f>
        <v/>
      </c>
      <c r="R342" s="8" t="n"/>
      <c r="S342" s="22">
        <f>IFERROR((S291-N291)/N291,"-")</f>
        <v/>
      </c>
      <c r="T342" s="14">
        <f>IFERROR((T291-O291)/O291,"-")</f>
        <v/>
      </c>
      <c r="U342" s="14">
        <f>IFERROR((U291-P291)/P291,"-")</f>
        <v/>
      </c>
      <c r="V342" s="14">
        <f>IFERROR((V291-Q291)/Q291,"-")</f>
        <v/>
      </c>
      <c r="W342" s="8" t="n"/>
      <c r="X342" s="22">
        <f>IFERROR((X291-S291)/S291,"-")</f>
        <v/>
      </c>
    </row>
    <row r="343">
      <c r="A343" s="9" t="inlineStr">
        <is>
          <t>KVYO</t>
        </is>
      </c>
      <c r="D343" s="7" t="n"/>
      <c r="H343" s="8" t="n"/>
      <c r="I343" s="22">
        <f>IFERROR((I292-D292)/D292,"-")</f>
        <v/>
      </c>
      <c r="J343" s="14">
        <f>IFERROR((J292-E292)/E292,"-")</f>
        <v/>
      </c>
      <c r="K343" s="14">
        <f>IFERROR((K292-F292)/F292,"-")</f>
        <v/>
      </c>
      <c r="L343" s="14">
        <f>IFERROR((L292-G292)/G292,"-")</f>
        <v/>
      </c>
      <c r="M343" s="8" t="n"/>
      <c r="N343" s="22">
        <f>IFERROR((N292-I292)/I292,"-")</f>
        <v/>
      </c>
      <c r="O343" s="14">
        <f>IFERROR((O292-J292)/J292,"-")</f>
        <v/>
      </c>
      <c r="P343" s="14">
        <f>IFERROR((P292-K292)/K292,"-")</f>
        <v/>
      </c>
      <c r="Q343" s="14">
        <f>IFERROR((Q292-L292)/L292,"-")</f>
        <v/>
      </c>
      <c r="R343" s="8" t="n"/>
      <c r="S343" s="22">
        <f>IFERROR((S292-N292)/N292,"-")</f>
        <v/>
      </c>
      <c r="T343" s="14">
        <f>IFERROR((T292-O292)/O292,"-")</f>
        <v/>
      </c>
      <c r="U343" s="14">
        <f>IFERROR((U292-P292)/P292,"-")</f>
        <v/>
      </c>
      <c r="V343" s="14">
        <f>IFERROR((V292-Q292)/Q292,"-")</f>
        <v/>
      </c>
      <c r="W343" s="8" t="n"/>
      <c r="X343" s="22">
        <f>IFERROR((X292-S292)/S292,"-")</f>
        <v/>
      </c>
    </row>
    <row r="344">
      <c r="A344" s="9" t="inlineStr">
        <is>
          <t>MNDY</t>
        </is>
      </c>
      <c r="D344" s="7" t="n"/>
      <c r="H344" s="8" t="n"/>
      <c r="I344" s="22">
        <f>IFERROR((I293-D293)/D293,"-")</f>
        <v/>
      </c>
      <c r="J344" s="14">
        <f>IFERROR((J293-E293)/E293,"-")</f>
        <v/>
      </c>
      <c r="K344" s="14">
        <f>IFERROR((K293-F293)/F293,"-")</f>
        <v/>
      </c>
      <c r="L344" s="14">
        <f>IFERROR((L293-G293)/G293,"-")</f>
        <v/>
      </c>
      <c r="M344" s="8" t="n"/>
      <c r="N344" s="22">
        <f>IFERROR((N293-I293)/I293,"-")</f>
        <v/>
      </c>
      <c r="O344" s="14">
        <f>IFERROR((O293-J293)/J293,"-")</f>
        <v/>
      </c>
      <c r="P344" s="14">
        <f>IFERROR((P293-K293)/K293,"-")</f>
        <v/>
      </c>
      <c r="Q344" s="14">
        <f>IFERROR((Q293-L293)/L293,"-")</f>
        <v/>
      </c>
      <c r="R344" s="8" t="n"/>
      <c r="S344" s="22">
        <f>IFERROR((S293-N293)/N293,"-")</f>
        <v/>
      </c>
      <c r="T344" s="14">
        <f>IFERROR((T293-O293)/O293,"-")</f>
        <v/>
      </c>
      <c r="U344" s="14">
        <f>IFERROR((U293-P293)/P293,"-")</f>
        <v/>
      </c>
      <c r="V344" s="14">
        <f>IFERROR((V293-Q293)/Q293,"-")</f>
        <v/>
      </c>
      <c r="W344" s="8" t="n"/>
      <c r="X344" s="22">
        <f>IFERROR((X293-S293)/S293,"-")</f>
        <v/>
      </c>
    </row>
    <row r="345">
      <c r="A345" s="9" t="inlineStr">
        <is>
          <t>CFLT</t>
        </is>
      </c>
      <c r="D345" s="7" t="n"/>
      <c r="H345" s="8" t="n"/>
      <c r="I345" s="22">
        <f>IFERROR((I294-D294)/D294,"-")</f>
        <v/>
      </c>
      <c r="J345" s="14">
        <f>IFERROR((J294-E294)/E294,"-")</f>
        <v/>
      </c>
      <c r="K345" s="14">
        <f>IFERROR((K294-F294)/F294,"-")</f>
        <v/>
      </c>
      <c r="L345" s="14">
        <f>IFERROR((L294-G294)/G294,"-")</f>
        <v/>
      </c>
      <c r="M345" s="8" t="n"/>
      <c r="N345" s="22">
        <f>IFERROR((N294-I294)/I294,"-")</f>
        <v/>
      </c>
      <c r="O345" s="14">
        <f>IFERROR((O294-J294)/J294,"-")</f>
        <v/>
      </c>
      <c r="P345" s="14">
        <f>IFERROR((P294-K294)/K294,"-")</f>
        <v/>
      </c>
      <c r="Q345" s="14">
        <f>IFERROR((Q294-L294)/L294,"-")</f>
        <v/>
      </c>
      <c r="R345" s="8" t="n"/>
      <c r="S345" s="22">
        <f>IFERROR((S294-N294)/N294,"-")</f>
        <v/>
      </c>
      <c r="T345" s="14">
        <f>IFERROR((T294-O294)/O294,"-")</f>
        <v/>
      </c>
      <c r="U345" s="14">
        <f>IFERROR((U294-P294)/P294,"-")</f>
        <v/>
      </c>
      <c r="V345" s="14">
        <f>IFERROR((V294-Q294)/Q294,"-")</f>
        <v/>
      </c>
      <c r="W345" s="8" t="n"/>
      <c r="X345" s="22">
        <f>IFERROR((X294-S294)/S294,"-")</f>
        <v/>
      </c>
    </row>
    <row r="346">
      <c r="A346" s="9" t="inlineStr">
        <is>
          <t>AZPN</t>
        </is>
      </c>
      <c r="D346" s="7" t="n"/>
      <c r="H346" s="8" t="n"/>
      <c r="I346" s="22">
        <f>IFERROR((I295-D295)/D295,"-")</f>
        <v/>
      </c>
      <c r="J346" s="14">
        <f>IFERROR((J295-E295)/E295,"-")</f>
        <v/>
      </c>
      <c r="K346" s="14">
        <f>IFERROR((K295-F295)/F295,"-")</f>
        <v/>
      </c>
      <c r="L346" s="14">
        <f>IFERROR((L295-G295)/G295,"-")</f>
        <v/>
      </c>
      <c r="M346" s="8" t="n"/>
      <c r="N346" s="22">
        <f>IFERROR((N295-I295)/I295,"-")</f>
        <v/>
      </c>
      <c r="O346" s="14">
        <f>IFERROR((O295-J295)/J295,"-")</f>
        <v/>
      </c>
      <c r="P346" s="14">
        <f>IFERROR((P295-K295)/K295,"-")</f>
        <v/>
      </c>
      <c r="Q346" s="14">
        <f>IFERROR((Q295-L295)/L295,"-")</f>
        <v/>
      </c>
      <c r="R346" s="8" t="n"/>
      <c r="S346" s="22">
        <f>IFERROR((S295-N295)/N295,"-")</f>
        <v/>
      </c>
      <c r="T346" s="14">
        <f>IFERROR((T295-O295)/O295,"-")</f>
        <v/>
      </c>
      <c r="U346" s="14">
        <f>IFERROR((U295-P295)/P295,"-")</f>
        <v/>
      </c>
      <c r="V346" s="14">
        <f>IFERROR((V295-Q295)/Q295,"-")</f>
        <v/>
      </c>
      <c r="W346" s="8" t="n"/>
      <c r="X346" s="22">
        <f>IFERROR((X295-S295)/S295,"-")</f>
        <v/>
      </c>
    </row>
    <row r="347">
      <c r="A347" s="9" t="inlineStr">
        <is>
          <t>MANH</t>
        </is>
      </c>
      <c r="D347" s="7" t="n"/>
      <c r="H347" s="8" t="n"/>
      <c r="I347" s="22">
        <f>IFERROR((I296-D296)/D296,"-")</f>
        <v/>
      </c>
      <c r="J347" s="14">
        <f>IFERROR((J296-E296)/E296,"-")</f>
        <v/>
      </c>
      <c r="K347" s="14">
        <f>IFERROR((K296-F296)/F296,"-")</f>
        <v/>
      </c>
      <c r="L347" s="14">
        <f>IFERROR((L296-G296)/G296,"-")</f>
        <v/>
      </c>
      <c r="M347" s="8" t="n"/>
      <c r="N347" s="22">
        <f>IFERROR((N296-I296)/I296,"-")</f>
        <v/>
      </c>
      <c r="O347" s="14">
        <f>IFERROR((O296-J296)/J296,"-")</f>
        <v/>
      </c>
      <c r="P347" s="14">
        <f>IFERROR((P296-K296)/K296,"-")</f>
        <v/>
      </c>
      <c r="Q347" s="14">
        <f>IFERROR((Q296-L296)/L296,"-")</f>
        <v/>
      </c>
      <c r="R347" s="8" t="n"/>
      <c r="S347" s="22">
        <f>IFERROR((S296-N296)/N296,"-")</f>
        <v/>
      </c>
      <c r="T347" s="14">
        <f>IFERROR((T296-O296)/O296,"-")</f>
        <v/>
      </c>
      <c r="U347" s="14">
        <f>IFERROR((U296-P296)/P296,"-")</f>
        <v/>
      </c>
      <c r="V347" s="14">
        <f>IFERROR((V296-Q296)/Q296,"-")</f>
        <v/>
      </c>
      <c r="W347" s="8" t="n"/>
      <c r="X347" s="22">
        <f>IFERROR((X296-S296)/S296,"-")</f>
        <v/>
      </c>
    </row>
    <row r="348">
      <c r="A348" s="9" t="inlineStr">
        <is>
          <t>S</t>
        </is>
      </c>
      <c r="D348" s="7" t="n"/>
      <c r="H348" s="8" t="n"/>
      <c r="I348" s="22">
        <f>IFERROR((I297-D297)/D297,"-")</f>
        <v/>
      </c>
      <c r="J348" s="14">
        <f>IFERROR((J297-E297)/E297,"-")</f>
        <v/>
      </c>
      <c r="K348" s="14">
        <f>IFERROR((K297-F297)/F297,"-")</f>
        <v/>
      </c>
      <c r="L348" s="14">
        <f>IFERROR((L297-G297)/G297,"-")</f>
        <v/>
      </c>
      <c r="M348" s="8" t="n"/>
      <c r="N348" s="22">
        <f>IFERROR((N297-I297)/I297,"-")</f>
        <v/>
      </c>
      <c r="O348" s="14">
        <f>IFERROR((O297-J297)/J297,"-")</f>
        <v/>
      </c>
      <c r="P348" s="14">
        <f>IFERROR((P297-K297)/K297,"-")</f>
        <v/>
      </c>
      <c r="Q348" s="14">
        <f>IFERROR((Q297-L297)/L297,"-")</f>
        <v/>
      </c>
      <c r="R348" s="8" t="n"/>
      <c r="S348" s="22">
        <f>IFERROR((S297-N297)/N297,"-")</f>
        <v/>
      </c>
      <c r="T348" s="14">
        <f>IFERROR((T297-O297)/O297,"-")</f>
        <v/>
      </c>
      <c r="U348" s="14">
        <f>IFERROR((U297-P297)/P297,"-")</f>
        <v/>
      </c>
      <c r="V348" s="14">
        <f>IFERROR((V297-Q297)/Q297,"-")</f>
        <v/>
      </c>
      <c r="W348" s="8" t="n"/>
      <c r="X348" s="22">
        <f>IFERROR((X297-S297)/S297,"-")</f>
        <v/>
      </c>
    </row>
    <row r="349">
      <c r="A349" s="9" t="inlineStr">
        <is>
          <t>TENB</t>
        </is>
      </c>
      <c r="D349" s="7" t="n"/>
      <c r="H349" s="8" t="n"/>
      <c r="I349" s="22">
        <f>IFERROR((I298-D298)/D298,"-")</f>
        <v/>
      </c>
      <c r="J349" s="14">
        <f>IFERROR((J298-E298)/E298,"-")</f>
        <v/>
      </c>
      <c r="K349" s="14">
        <f>IFERROR((K298-F298)/F298,"-")</f>
        <v/>
      </c>
      <c r="L349" s="14">
        <f>IFERROR((L298-G298)/G298,"-")</f>
        <v/>
      </c>
      <c r="M349" s="8" t="n"/>
      <c r="N349" s="22">
        <f>IFERROR((N298-I298)/I298,"-")</f>
        <v/>
      </c>
      <c r="O349" s="14">
        <f>IFERROR((O298-J298)/J298,"-")</f>
        <v/>
      </c>
      <c r="P349" s="14">
        <f>IFERROR((P298-K298)/K298,"-")</f>
        <v/>
      </c>
      <c r="Q349" s="14">
        <f>IFERROR((Q298-L298)/L298,"-")</f>
        <v/>
      </c>
      <c r="R349" s="8" t="n"/>
      <c r="S349" s="22">
        <f>IFERROR((S298-N298)/N298,"-")</f>
        <v/>
      </c>
      <c r="T349" s="14">
        <f>IFERROR((T298-O298)/O298,"-")</f>
        <v/>
      </c>
      <c r="U349" s="14">
        <f>IFERROR((U298-P298)/P298,"-")</f>
        <v/>
      </c>
      <c r="V349" s="14">
        <f>IFERROR((V298-Q298)/Q298,"-")</f>
        <v/>
      </c>
      <c r="W349" s="8" t="n"/>
      <c r="X349" s="22">
        <f>IFERROR((X298-S298)/S298,"-")</f>
        <v/>
      </c>
    </row>
    <row r="350">
      <c r="A350" s="9" t="inlineStr">
        <is>
          <t>GTLB</t>
        </is>
      </c>
      <c r="D350" s="7" t="n"/>
      <c r="H350" s="8" t="n"/>
      <c r="I350" s="22">
        <f>IFERROR((I299-D299)/D299,"-")</f>
        <v/>
      </c>
      <c r="J350" s="14">
        <f>IFERROR((J299-E299)/E299,"-")</f>
        <v/>
      </c>
      <c r="K350" s="14">
        <f>IFERROR((K299-F299)/F299,"-")</f>
        <v/>
      </c>
      <c r="L350" s="14">
        <f>IFERROR((L299-G299)/G299,"-")</f>
        <v/>
      </c>
      <c r="M350" s="8" t="n"/>
      <c r="N350" s="22">
        <f>IFERROR((N299-I299)/I299,"-")</f>
        <v/>
      </c>
      <c r="O350" s="14">
        <f>IFERROR((O299-J299)/J299,"-")</f>
        <v/>
      </c>
      <c r="P350" s="14">
        <f>IFERROR((P299-K299)/K299,"-")</f>
        <v/>
      </c>
      <c r="Q350" s="14">
        <f>IFERROR((Q299-L299)/L299,"-")</f>
        <v/>
      </c>
      <c r="R350" s="8" t="n"/>
      <c r="S350" s="22">
        <f>IFERROR((S299-N299)/N299,"-")</f>
        <v/>
      </c>
      <c r="T350" s="14">
        <f>IFERROR((T299-O299)/O299,"-")</f>
        <v/>
      </c>
      <c r="U350" s="14">
        <f>IFERROR((U299-P299)/P299,"-")</f>
        <v/>
      </c>
      <c r="V350" s="14">
        <f>IFERROR((V299-Q299)/Q299,"-")</f>
        <v/>
      </c>
      <c r="W350" s="8" t="n"/>
      <c r="X350" s="22">
        <f>IFERROR((X299-S299)/S299,"-")</f>
        <v/>
      </c>
    </row>
    <row r="351">
      <c r="A351" s="9" t="inlineStr">
        <is>
          <t>DOCN</t>
        </is>
      </c>
      <c r="D351" s="7" t="n"/>
      <c r="H351" s="8" t="n"/>
      <c r="I351" s="22">
        <f>IFERROR((I300-D300)/D300,"-")</f>
        <v/>
      </c>
      <c r="J351" s="14">
        <f>IFERROR((J300-E300)/E300,"-")</f>
        <v/>
      </c>
      <c r="K351" s="14">
        <f>IFERROR((K300-F300)/F300,"-")</f>
        <v/>
      </c>
      <c r="L351" s="14">
        <f>IFERROR((L300-G300)/G300,"-")</f>
        <v/>
      </c>
      <c r="M351" s="8" t="n"/>
      <c r="N351" s="22">
        <f>IFERROR((N300-I300)/I300,"-")</f>
        <v/>
      </c>
      <c r="O351" s="14">
        <f>IFERROR((O300-J300)/J300,"-")</f>
        <v/>
      </c>
      <c r="P351" s="14">
        <f>IFERROR((P300-K300)/K300,"-")</f>
        <v/>
      </c>
      <c r="Q351" s="14">
        <f>IFERROR((Q300-L300)/L300,"-")</f>
        <v/>
      </c>
      <c r="R351" s="8" t="n"/>
      <c r="S351" s="22">
        <f>IFERROR((S300-N300)/N300,"-")</f>
        <v/>
      </c>
      <c r="T351" s="14">
        <f>IFERROR((T300-O300)/O300,"-")</f>
        <v/>
      </c>
      <c r="U351" s="14">
        <f>IFERROR((U300-P300)/P300,"-")</f>
        <v/>
      </c>
      <c r="V351" s="14">
        <f>IFERROR((V300-Q300)/Q300,"-")</f>
        <v/>
      </c>
      <c r="W351" s="8" t="n"/>
      <c r="X351" s="22">
        <f>IFERROR((X300-S300)/S300,"-")</f>
        <v/>
      </c>
    </row>
    <row r="352">
      <c r="A352" s="9" t="inlineStr">
        <is>
          <t>SPSC</t>
        </is>
      </c>
      <c r="D352" s="7" t="n"/>
      <c r="H352" s="8" t="n"/>
      <c r="I352" s="22">
        <f>IFERROR((I301-D301)/D301,"-")</f>
        <v/>
      </c>
      <c r="J352" s="14">
        <f>IFERROR((J301-E301)/E301,"-")</f>
        <v/>
      </c>
      <c r="K352" s="14">
        <f>IFERROR((K301-F301)/F301,"-")</f>
        <v/>
      </c>
      <c r="L352" s="14">
        <f>IFERROR((L301-G301)/G301,"-")</f>
        <v/>
      </c>
      <c r="M352" s="8" t="n"/>
      <c r="N352" s="22">
        <f>IFERROR((N301-I301)/I301,"-")</f>
        <v/>
      </c>
      <c r="O352" s="14">
        <f>IFERROR((O301-J301)/J301,"-")</f>
        <v/>
      </c>
      <c r="P352" s="14">
        <f>IFERROR((P301-K301)/K301,"-")</f>
        <v/>
      </c>
      <c r="Q352" s="14">
        <f>IFERROR((Q301-L301)/L301,"-")</f>
        <v/>
      </c>
      <c r="R352" s="8" t="n"/>
      <c r="S352" s="22">
        <f>IFERROR((S301-N301)/N301,"-")</f>
        <v/>
      </c>
      <c r="T352" s="14">
        <f>IFERROR((T301-O301)/O301,"-")</f>
        <v/>
      </c>
      <c r="U352" s="14">
        <f>IFERROR((U301-P301)/P301,"-")</f>
        <v/>
      </c>
      <c r="V352" s="14">
        <f>IFERROR((V301-Q301)/Q301,"-")</f>
        <v/>
      </c>
      <c r="W352" s="8" t="n"/>
      <c r="X352" s="22">
        <f>IFERROR((X301-S301)/S301,"-")</f>
        <v/>
      </c>
    </row>
    <row r="353">
      <c r="A353" s="9" t="inlineStr">
        <is>
          <t>BRZE</t>
        </is>
      </c>
      <c r="D353" s="7" t="n"/>
      <c r="H353" s="8" t="n"/>
      <c r="I353" s="22">
        <f>IFERROR((I302-D302)/D302,"-")</f>
        <v/>
      </c>
      <c r="J353" s="14">
        <f>IFERROR((J302-E302)/E302,"-")</f>
        <v/>
      </c>
      <c r="K353" s="14">
        <f>IFERROR((K302-F302)/F302,"-")</f>
        <v/>
      </c>
      <c r="L353" s="14">
        <f>IFERROR((L302-G302)/G302,"-")</f>
        <v/>
      </c>
      <c r="M353" s="8" t="n"/>
      <c r="N353" s="22">
        <f>IFERROR((N302-I302)/I302,"-")</f>
        <v/>
      </c>
      <c r="O353" s="14">
        <f>IFERROR((O302-J302)/J302,"-")</f>
        <v/>
      </c>
      <c r="P353" s="14">
        <f>IFERROR((P302-K302)/K302,"-")</f>
        <v/>
      </c>
      <c r="Q353" s="14">
        <f>IFERROR((Q302-L302)/L302,"-")</f>
        <v/>
      </c>
      <c r="R353" s="8" t="n"/>
      <c r="S353" s="22">
        <f>IFERROR((S302-N302)/N302,"-")</f>
        <v/>
      </c>
      <c r="T353" s="14">
        <f>IFERROR((T302-O302)/O302,"-")</f>
        <v/>
      </c>
      <c r="U353" s="14">
        <f>IFERROR((U302-P302)/P302,"-")</f>
        <v/>
      </c>
      <c r="V353" s="14">
        <f>IFERROR((V302-Q302)/Q302,"-")</f>
        <v/>
      </c>
      <c r="W353" s="8" t="n"/>
      <c r="X353" s="22">
        <f>IFERROR((X302-S302)/S302,"-")</f>
        <v/>
      </c>
    </row>
    <row r="354">
      <c r="A354" s="9" t="inlineStr">
        <is>
          <t>CWAN</t>
        </is>
      </c>
      <c r="D354" s="7" t="n"/>
      <c r="H354" s="8" t="n"/>
      <c r="I354" s="22">
        <f>IFERROR((I303-D303)/D303,"-")</f>
        <v/>
      </c>
      <c r="J354" s="14">
        <f>IFERROR((J303-E303)/E303,"-")</f>
        <v/>
      </c>
      <c r="K354" s="14">
        <f>IFERROR((K303-F303)/F303,"-")</f>
        <v/>
      </c>
      <c r="L354" s="14">
        <f>IFERROR((L303-G303)/G303,"-")</f>
        <v/>
      </c>
      <c r="M354" s="8" t="n"/>
      <c r="N354" s="22">
        <f>IFERROR((N303-I303)/I303,"-")</f>
        <v/>
      </c>
      <c r="O354" s="14">
        <f>IFERROR((O303-J303)/J303,"-")</f>
        <v/>
      </c>
      <c r="P354" s="14">
        <f>IFERROR((P303-K303)/K303,"-")</f>
        <v/>
      </c>
      <c r="Q354" s="14">
        <f>IFERROR((Q303-L303)/L303,"-")</f>
        <v/>
      </c>
      <c r="R354" s="8" t="n"/>
      <c r="S354" s="22">
        <f>IFERROR((S303-N303)/N303,"-")</f>
        <v/>
      </c>
      <c r="T354" s="14">
        <f>IFERROR((T303-O303)/O303,"-")</f>
        <v/>
      </c>
      <c r="U354" s="14">
        <f>IFERROR((U303-P303)/P303,"-")</f>
        <v/>
      </c>
      <c r="V354" s="14">
        <f>IFERROR((V303-Q303)/Q303,"-")</f>
        <v/>
      </c>
      <c r="W354" s="8" t="n"/>
      <c r="X354" s="22">
        <f>IFERROR((X303-S303)/S303,"-")</f>
        <v/>
      </c>
    </row>
    <row r="355">
      <c r="A355" s="9" t="inlineStr">
        <is>
          <t>APPN</t>
        </is>
      </c>
      <c r="D355" s="7" t="n"/>
      <c r="H355" s="8" t="n"/>
      <c r="I355" s="22">
        <f>IFERROR((I304-D304)/D304,"-")</f>
        <v/>
      </c>
      <c r="J355" s="14">
        <f>IFERROR((J304-E304)/E304,"-")</f>
        <v/>
      </c>
      <c r="K355" s="14">
        <f>IFERROR((K304-F304)/F304,"-")</f>
        <v/>
      </c>
      <c r="L355" s="14">
        <f>IFERROR((L304-G304)/G304,"-")</f>
        <v/>
      </c>
      <c r="M355" s="8" t="n"/>
      <c r="N355" s="22">
        <f>IFERROR((N304-I304)/I304,"-")</f>
        <v/>
      </c>
      <c r="O355" s="14">
        <f>IFERROR((O304-J304)/J304,"-")</f>
        <v/>
      </c>
      <c r="P355" s="14">
        <f>IFERROR((P304-K304)/K304,"-")</f>
        <v/>
      </c>
      <c r="Q355" s="14">
        <f>IFERROR((Q304-L304)/L304,"-")</f>
        <v/>
      </c>
      <c r="R355" s="8" t="n"/>
      <c r="S355" s="22">
        <f>IFERROR((S304-N304)/N304,"-")</f>
        <v/>
      </c>
      <c r="T355" s="14">
        <f>IFERROR((T304-O304)/O304,"-")</f>
        <v/>
      </c>
      <c r="U355" s="14">
        <f>IFERROR((U304-P304)/P304,"-")</f>
        <v/>
      </c>
      <c r="V355" s="14">
        <f>IFERROR((V304-Q304)/Q304,"-")</f>
        <v/>
      </c>
      <c r="W355" s="8" t="n"/>
      <c r="X355" s="22">
        <f>IFERROR((X304-S304)/S304,"-")</f>
        <v/>
      </c>
    </row>
    <row r="356">
      <c r="A356" s="9" t="inlineStr">
        <is>
          <t>QLYS</t>
        </is>
      </c>
      <c r="D356" s="7" t="n"/>
      <c r="H356" s="8" t="n"/>
      <c r="I356" s="22">
        <f>IFERROR((I305-D305)/D305,"-")</f>
        <v/>
      </c>
      <c r="J356" s="14">
        <f>IFERROR((J305-E305)/E305,"-")</f>
        <v/>
      </c>
      <c r="K356" s="14">
        <f>IFERROR((K305-F305)/F305,"-")</f>
        <v/>
      </c>
      <c r="L356" s="14">
        <f>IFERROR((L305-G305)/G305,"-")</f>
        <v/>
      </c>
      <c r="M356" s="8" t="n"/>
      <c r="N356" s="22">
        <f>IFERROR((N305-I305)/I305,"-")</f>
        <v/>
      </c>
      <c r="O356" s="14">
        <f>IFERROR((O305-J305)/J305,"-")</f>
        <v/>
      </c>
      <c r="P356" s="14">
        <f>IFERROR((P305-K305)/K305,"-")</f>
        <v/>
      </c>
      <c r="Q356" s="14">
        <f>IFERROR((Q305-L305)/L305,"-")</f>
        <v/>
      </c>
      <c r="R356" s="8" t="n"/>
      <c r="S356" s="22">
        <f>IFERROR((S305-N305)/N305,"-")</f>
        <v/>
      </c>
      <c r="T356" s="14">
        <f>IFERROR((T305-O305)/O305,"-")</f>
        <v/>
      </c>
      <c r="U356" s="14">
        <f>IFERROR((U305-P305)/P305,"-")</f>
        <v/>
      </c>
      <c r="V356" s="14">
        <f>IFERROR((V305-Q305)/Q305,"-")</f>
        <v/>
      </c>
      <c r="W356" s="8" t="n"/>
      <c r="X356" s="22">
        <f>IFERROR((X305-S305)/S305,"-")</f>
        <v/>
      </c>
    </row>
    <row r="357">
      <c r="A357" s="9" t="inlineStr">
        <is>
          <t>NCNO</t>
        </is>
      </c>
      <c r="D357" s="7" t="n"/>
      <c r="H357" s="8" t="n"/>
      <c r="I357" s="22">
        <f>IFERROR((I306-D306)/D306,"-")</f>
        <v/>
      </c>
      <c r="J357" s="14">
        <f>IFERROR((J306-E306)/E306,"-")</f>
        <v/>
      </c>
      <c r="K357" s="14">
        <f>IFERROR((K306-F306)/F306,"-")</f>
        <v/>
      </c>
      <c r="L357" s="14">
        <f>IFERROR((L306-G306)/G306,"-")</f>
        <v/>
      </c>
      <c r="M357" s="8" t="n"/>
      <c r="N357" s="22">
        <f>IFERROR((N306-I306)/I306,"-")</f>
        <v/>
      </c>
      <c r="O357" s="14">
        <f>IFERROR((O306-J306)/J306,"-")</f>
        <v/>
      </c>
      <c r="P357" s="14">
        <f>IFERROR((P306-K306)/K306,"-")</f>
        <v/>
      </c>
      <c r="Q357" s="14">
        <f>IFERROR((Q306-L306)/L306,"-")</f>
        <v/>
      </c>
      <c r="R357" s="8" t="n"/>
      <c r="S357" s="22">
        <f>IFERROR((S306-N306)/N306,"-")</f>
        <v/>
      </c>
      <c r="T357" s="14">
        <f>IFERROR((T306-O306)/O306,"-")</f>
        <v/>
      </c>
      <c r="U357" s="14">
        <f>IFERROR((U306-P306)/P306,"-")</f>
        <v/>
      </c>
      <c r="V357" s="14">
        <f>IFERROR((V306-Q306)/Q306,"-")</f>
        <v/>
      </c>
      <c r="W357" s="8" t="n"/>
      <c r="X357" s="22">
        <f>IFERROR((X306-S306)/S306,"-")</f>
        <v/>
      </c>
    </row>
    <row r="358">
      <c r="A358" s="9" t="inlineStr">
        <is>
          <t>FROG</t>
        </is>
      </c>
      <c r="D358" s="7" t="n"/>
      <c r="H358" s="8" t="n"/>
      <c r="I358" s="22">
        <f>IFERROR((I307-D307)/D307,"-")</f>
        <v/>
      </c>
      <c r="J358" s="14">
        <f>IFERROR((J307-E307)/E307,"-")</f>
        <v/>
      </c>
      <c r="K358" s="14">
        <f>IFERROR((K307-F307)/F307,"-")</f>
        <v/>
      </c>
      <c r="L358" s="14">
        <f>IFERROR((L307-G307)/G307,"-")</f>
        <v/>
      </c>
      <c r="M358" s="8" t="n"/>
      <c r="N358" s="22">
        <f>IFERROR((N307-I307)/I307,"-")</f>
        <v/>
      </c>
      <c r="O358" s="14">
        <f>IFERROR((O307-J307)/J307,"-")</f>
        <v/>
      </c>
      <c r="P358" s="14">
        <f>IFERROR((P307-K307)/K307,"-")</f>
        <v/>
      </c>
      <c r="Q358" s="14">
        <f>IFERROR((Q307-L307)/L307,"-")</f>
        <v/>
      </c>
      <c r="R358" s="8" t="n"/>
      <c r="S358" s="22">
        <f>IFERROR((S307-N307)/N307,"-")</f>
        <v/>
      </c>
      <c r="T358" s="14">
        <f>IFERROR((T307-O307)/O307,"-")</f>
        <v/>
      </c>
      <c r="U358" s="14">
        <f>IFERROR((U307-P307)/P307,"-")</f>
        <v/>
      </c>
      <c r="V358" s="14">
        <f>IFERROR((V307-Q307)/Q307,"-")</f>
        <v/>
      </c>
      <c r="W358" s="8" t="n"/>
      <c r="X358" s="22">
        <f>IFERROR((X307-S307)/S307,"-")</f>
        <v/>
      </c>
    </row>
    <row r="359">
      <c r="D359" s="7" t="n"/>
      <c r="H359" s="8" t="n"/>
      <c r="I359" s="7" t="n"/>
      <c r="M359" s="8" t="n"/>
      <c r="N359" s="7" t="n"/>
      <c r="R359" s="8" t="n"/>
      <c r="S359" s="7" t="n"/>
      <c r="W359" s="8" t="n"/>
      <c r="X359" s="7" t="n"/>
    </row>
    <row r="360">
      <c r="A360" s="3" t="inlineStr">
        <is>
          <t>% QoQ</t>
        </is>
      </c>
      <c r="D360" s="7" t="n"/>
      <c r="H360" s="8" t="n"/>
      <c r="I360" s="7" t="n"/>
      <c r="M360" s="8" t="n"/>
      <c r="N360" s="7" t="n"/>
      <c r="R360" s="8" t="n"/>
      <c r="S360" s="7" t="n"/>
      <c r="W360" s="8" t="n"/>
      <c r="X360" s="7" t="n"/>
    </row>
    <row r="361">
      <c r="A361" s="9" t="inlineStr">
        <is>
          <t>ADBE</t>
        </is>
      </c>
      <c r="D361" s="7" t="n"/>
      <c r="E361" s="14">
        <f>IFERROR((E260-D260)/D260,"-")</f>
        <v/>
      </c>
      <c r="F361" s="14">
        <f>IFERROR((F260-E260)/E260,"-")</f>
        <v/>
      </c>
      <c r="G361" s="14">
        <f>IFERROR((G260-F260)/F260,"-")</f>
        <v/>
      </c>
      <c r="H361" s="8" t="n"/>
      <c r="I361" s="22">
        <f>IFERROR((I260-G260)/G260,"-")</f>
        <v/>
      </c>
      <c r="J361" s="14">
        <f>IFERROR((J260-I260)/I260,"-")</f>
        <v/>
      </c>
      <c r="K361" s="14">
        <f>IFERROR((K260-J260)/J260,"-")</f>
        <v/>
      </c>
      <c r="L361" s="14">
        <f>IFERROR((L260-K260)/K260,"-")</f>
        <v/>
      </c>
      <c r="M361" s="8" t="n"/>
      <c r="N361" s="22">
        <f>IFERROR((N260-L260)/L260,"-")</f>
        <v/>
      </c>
      <c r="O361" s="14">
        <f>IFERROR((O260-N260)/N260,"-")</f>
        <v/>
      </c>
      <c r="P361" s="14">
        <f>IFERROR((P260-O260)/O260,"-")</f>
        <v/>
      </c>
      <c r="Q361" s="14">
        <f>IFERROR((Q260-P260)/P260,"-")</f>
        <v/>
      </c>
      <c r="R361" s="8" t="n"/>
      <c r="S361" s="22">
        <f>IFERROR((S260-Q260)/Q260,"-")</f>
        <v/>
      </c>
      <c r="T361" s="14">
        <f>IFERROR((T260-S260)/S260,"-")</f>
        <v/>
      </c>
      <c r="U361" s="14">
        <f>IFERROR((U260-T260)/T260,"-")</f>
        <v/>
      </c>
      <c r="V361" s="14">
        <f>IFERROR((V260-U260)/U260,"-")</f>
        <v/>
      </c>
      <c r="W361" s="8" t="n"/>
      <c r="X361" s="22">
        <f>IFERROR((X260-V260)/V260,"-")</f>
        <v/>
      </c>
    </row>
    <row r="362">
      <c r="A362" s="9" t="inlineStr">
        <is>
          <t>INTU</t>
        </is>
      </c>
      <c r="D362" s="7" t="n"/>
      <c r="E362" s="14">
        <f>IFERROR((E261-D261)/D261,"-")</f>
        <v/>
      </c>
      <c r="F362" s="14">
        <f>IFERROR((F261-E261)/E261,"-")</f>
        <v/>
      </c>
      <c r="G362" s="14">
        <f>IFERROR((G261-F261)/F261,"-")</f>
        <v/>
      </c>
      <c r="H362" s="8" t="n"/>
      <c r="I362" s="22">
        <f>IFERROR((I261-G261)/G261,"-")</f>
        <v/>
      </c>
      <c r="J362" s="14">
        <f>IFERROR((J261-I261)/I261,"-")</f>
        <v/>
      </c>
      <c r="K362" s="14">
        <f>IFERROR((K261-J261)/J261,"-")</f>
        <v/>
      </c>
      <c r="L362" s="14">
        <f>IFERROR((L261-K261)/K261,"-")</f>
        <v/>
      </c>
      <c r="M362" s="8" t="n"/>
      <c r="N362" s="22">
        <f>IFERROR((N261-L261)/L261,"-")</f>
        <v/>
      </c>
      <c r="O362" s="14">
        <f>IFERROR((O261-N261)/N261,"-")</f>
        <v/>
      </c>
      <c r="P362" s="14">
        <f>IFERROR((P261-O261)/O261,"-")</f>
        <v/>
      </c>
      <c r="Q362" s="14">
        <f>IFERROR((Q261-P261)/P261,"-")</f>
        <v/>
      </c>
      <c r="R362" s="8" t="n"/>
      <c r="S362" s="22">
        <f>IFERROR((S261-Q261)/Q261,"-")</f>
        <v/>
      </c>
      <c r="T362" s="14">
        <f>IFERROR((T261-S261)/S261,"-")</f>
        <v/>
      </c>
      <c r="U362" s="14">
        <f>IFERROR((U261-T261)/T261,"-")</f>
        <v/>
      </c>
      <c r="V362" s="14">
        <f>IFERROR((V261-U261)/U261,"-")</f>
        <v/>
      </c>
      <c r="W362" s="8" t="n"/>
      <c r="X362" s="22">
        <f>IFERROR((X261-V261)/V261,"-")</f>
        <v/>
      </c>
    </row>
    <row r="363">
      <c r="A363" s="9" t="inlineStr">
        <is>
          <t>NOW</t>
        </is>
      </c>
      <c r="D363" s="7" t="n"/>
      <c r="E363" s="14">
        <f>IFERROR((E262-D262)/D262,"-")</f>
        <v/>
      </c>
      <c r="F363" s="14">
        <f>IFERROR((F262-E262)/E262,"-")</f>
        <v/>
      </c>
      <c r="G363" s="14">
        <f>IFERROR((G262-F262)/F262,"-")</f>
        <v/>
      </c>
      <c r="H363" s="8" t="n"/>
      <c r="I363" s="22">
        <f>IFERROR((I262-G262)/G262,"-")</f>
        <v/>
      </c>
      <c r="J363" s="14">
        <f>IFERROR((J262-I262)/I262,"-")</f>
        <v/>
      </c>
      <c r="K363" s="14">
        <f>IFERROR((K262-J262)/J262,"-")</f>
        <v/>
      </c>
      <c r="L363" s="14">
        <f>IFERROR((L262-K262)/K262,"-")</f>
        <v/>
      </c>
      <c r="M363" s="8" t="n"/>
      <c r="N363" s="22">
        <f>IFERROR((N262-L262)/L262,"-")</f>
        <v/>
      </c>
      <c r="O363" s="14">
        <f>IFERROR((O262-N262)/N262,"-")</f>
        <v/>
      </c>
      <c r="P363" s="14">
        <f>IFERROR((P262-O262)/O262,"-")</f>
        <v/>
      </c>
      <c r="Q363" s="14">
        <f>IFERROR((Q262-P262)/P262,"-")</f>
        <v/>
      </c>
      <c r="R363" s="8" t="n"/>
      <c r="S363" s="22">
        <f>IFERROR((S262-Q262)/Q262,"-")</f>
        <v/>
      </c>
      <c r="T363" s="14">
        <f>IFERROR((T262-S262)/S262,"-")</f>
        <v/>
      </c>
      <c r="U363" s="14">
        <f>IFERROR((U262-T262)/T262,"-")</f>
        <v/>
      </c>
      <c r="V363" s="14">
        <f>IFERROR((V262-U262)/U262,"-")</f>
        <v/>
      </c>
      <c r="W363" s="8" t="n"/>
      <c r="X363" s="22">
        <f>IFERROR((X262-V262)/V262,"-")</f>
        <v/>
      </c>
    </row>
    <row r="364">
      <c r="A364" s="9" t="inlineStr">
        <is>
          <t>PANW</t>
        </is>
      </c>
      <c r="D364" s="7" t="n"/>
      <c r="E364" s="14">
        <f>IFERROR((E263-D263)/D263,"-")</f>
        <v/>
      </c>
      <c r="F364" s="14">
        <f>IFERROR((F263-E263)/E263,"-")</f>
        <v/>
      </c>
      <c r="G364" s="14">
        <f>IFERROR((G263-F263)/F263,"-")</f>
        <v/>
      </c>
      <c r="H364" s="8" t="n"/>
      <c r="I364" s="22">
        <f>IFERROR((I263-G263)/G263,"-")</f>
        <v/>
      </c>
      <c r="J364" s="14">
        <f>IFERROR((J263-I263)/I263,"-")</f>
        <v/>
      </c>
      <c r="K364" s="14">
        <f>IFERROR((K263-J263)/J263,"-")</f>
        <v/>
      </c>
      <c r="L364" s="14">
        <f>IFERROR((L263-K263)/K263,"-")</f>
        <v/>
      </c>
      <c r="M364" s="8" t="n"/>
      <c r="N364" s="22">
        <f>IFERROR((N263-L263)/L263,"-")</f>
        <v/>
      </c>
      <c r="O364" s="14">
        <f>IFERROR((O263-N263)/N263,"-")</f>
        <v/>
      </c>
      <c r="P364" s="14">
        <f>IFERROR((P263-O263)/O263,"-")</f>
        <v/>
      </c>
      <c r="Q364" s="14">
        <f>IFERROR((Q263-P263)/P263,"-")</f>
        <v/>
      </c>
      <c r="R364" s="8" t="n"/>
      <c r="S364" s="22">
        <f>IFERROR((S263-Q263)/Q263,"-")</f>
        <v/>
      </c>
      <c r="T364" s="14">
        <f>IFERROR((T263-S263)/S263,"-")</f>
        <v/>
      </c>
      <c r="U364" s="14">
        <f>IFERROR((U263-T263)/T263,"-")</f>
        <v/>
      </c>
      <c r="V364" s="14">
        <f>IFERROR((V263-U263)/U263,"-")</f>
        <v/>
      </c>
      <c r="W364" s="8" t="n"/>
      <c r="X364" s="22">
        <f>IFERROR((X263-V263)/V263,"-")</f>
        <v/>
      </c>
    </row>
    <row r="365">
      <c r="A365" s="9" t="inlineStr">
        <is>
          <t>WDAY</t>
        </is>
      </c>
      <c r="D365" s="7" t="n"/>
      <c r="E365" s="14">
        <f>IFERROR((E264-D264)/D264,"-")</f>
        <v/>
      </c>
      <c r="F365" s="14">
        <f>IFERROR((F264-E264)/E264,"-")</f>
        <v/>
      </c>
      <c r="G365" s="14">
        <f>IFERROR((G264-F264)/F264,"-")</f>
        <v/>
      </c>
      <c r="H365" s="8" t="n"/>
      <c r="I365" s="22">
        <f>IFERROR((I264-G264)/G264,"-")</f>
        <v/>
      </c>
      <c r="J365" s="14">
        <f>IFERROR((J264-I264)/I264,"-")</f>
        <v/>
      </c>
      <c r="K365" s="14">
        <f>IFERROR((K264-J264)/J264,"-")</f>
        <v/>
      </c>
      <c r="L365" s="14">
        <f>IFERROR((L264-K264)/K264,"-")</f>
        <v/>
      </c>
      <c r="M365" s="8" t="n"/>
      <c r="N365" s="22">
        <f>IFERROR((N264-L264)/L264,"-")</f>
        <v/>
      </c>
      <c r="O365" s="14">
        <f>IFERROR((O264-N264)/N264,"-")</f>
        <v/>
      </c>
      <c r="P365" s="14">
        <f>IFERROR((P264-O264)/O264,"-")</f>
        <v/>
      </c>
      <c r="Q365" s="14">
        <f>IFERROR((Q264-P264)/P264,"-")</f>
        <v/>
      </c>
      <c r="R365" s="8" t="n"/>
      <c r="S365" s="22">
        <f>IFERROR((S264-Q264)/Q264,"-")</f>
        <v/>
      </c>
      <c r="T365" s="14">
        <f>IFERROR((T264-S264)/S264,"-")</f>
        <v/>
      </c>
      <c r="U365" s="14">
        <f>IFERROR((U264-T264)/T264,"-")</f>
        <v/>
      </c>
      <c r="V365" s="14">
        <f>IFERROR((V264-U264)/U264,"-")</f>
        <v/>
      </c>
      <c r="W365" s="8" t="n"/>
      <c r="X365" s="22">
        <f>IFERROR((X264-V264)/V264,"-")</f>
        <v/>
      </c>
    </row>
    <row r="366">
      <c r="A366" s="9" t="inlineStr">
        <is>
          <t>SNPS</t>
        </is>
      </c>
      <c r="D366" s="7" t="n"/>
      <c r="E366" s="14">
        <f>IFERROR((E265-D265)/D265,"-")</f>
        <v/>
      </c>
      <c r="F366" s="14">
        <f>IFERROR((F265-E265)/E265,"-")</f>
        <v/>
      </c>
      <c r="G366" s="14">
        <f>IFERROR((G265-F265)/F265,"-")</f>
        <v/>
      </c>
      <c r="H366" s="8" t="n"/>
      <c r="I366" s="22">
        <f>IFERROR((I265-G265)/G265,"-")</f>
        <v/>
      </c>
      <c r="J366" s="14">
        <f>IFERROR((J265-I265)/I265,"-")</f>
        <v/>
      </c>
      <c r="K366" s="14">
        <f>IFERROR((K265-J265)/J265,"-")</f>
        <v/>
      </c>
      <c r="L366" s="14">
        <f>IFERROR((L265-K265)/K265,"-")</f>
        <v/>
      </c>
      <c r="M366" s="8" t="n"/>
      <c r="N366" s="22">
        <f>IFERROR((N265-L265)/L265,"-")</f>
        <v/>
      </c>
      <c r="O366" s="14">
        <f>IFERROR((O265-N265)/N265,"-")</f>
        <v/>
      </c>
      <c r="P366" s="14">
        <f>IFERROR((P265-O265)/O265,"-")</f>
        <v/>
      </c>
      <c r="Q366" s="14">
        <f>IFERROR((Q265-P265)/P265,"-")</f>
        <v/>
      </c>
      <c r="R366" s="8" t="n"/>
      <c r="S366" s="22">
        <f>IFERROR((S265-Q265)/Q265,"-")</f>
        <v/>
      </c>
      <c r="T366" s="14">
        <f>IFERROR((T265-S265)/S265,"-")</f>
        <v/>
      </c>
      <c r="U366" s="14">
        <f>IFERROR((U265-T265)/T265,"-")</f>
        <v/>
      </c>
      <c r="V366" s="14">
        <f>IFERROR((V265-U265)/U265,"-")</f>
        <v/>
      </c>
      <c r="W366" s="8" t="n"/>
      <c r="X366" s="22">
        <f>IFERROR((X265-V265)/V265,"-")</f>
        <v/>
      </c>
    </row>
    <row r="367">
      <c r="A367" s="9" t="inlineStr">
        <is>
          <t>ROP</t>
        </is>
      </c>
      <c r="D367" s="7" t="n"/>
      <c r="E367" s="14">
        <f>IFERROR((E266-D266)/D266,"-")</f>
        <v/>
      </c>
      <c r="F367" s="14">
        <f>IFERROR((F266-E266)/E266,"-")</f>
        <v/>
      </c>
      <c r="G367" s="14">
        <f>IFERROR((G266-F266)/F266,"-")</f>
        <v/>
      </c>
      <c r="H367" s="8" t="n"/>
      <c r="I367" s="22">
        <f>IFERROR((I266-G266)/G266,"-")</f>
        <v/>
      </c>
      <c r="J367" s="14">
        <f>IFERROR((J266-I266)/I266,"-")</f>
        <v/>
      </c>
      <c r="K367" s="14">
        <f>IFERROR((K266-J266)/J266,"-")</f>
        <v/>
      </c>
      <c r="L367" s="14">
        <f>IFERROR((L266-K266)/K266,"-")</f>
        <v/>
      </c>
      <c r="M367" s="8" t="n"/>
      <c r="N367" s="22">
        <f>IFERROR((N266-L266)/L266,"-")</f>
        <v/>
      </c>
      <c r="O367" s="14">
        <f>IFERROR((O266-N266)/N266,"-")</f>
        <v/>
      </c>
      <c r="P367" s="14">
        <f>IFERROR((P266-O266)/O266,"-")</f>
        <v/>
      </c>
      <c r="Q367" s="14">
        <f>IFERROR((Q266-P266)/P266,"-")</f>
        <v/>
      </c>
      <c r="R367" s="8" t="n"/>
      <c r="S367" s="22">
        <f>IFERROR((S266-Q266)/Q266,"-")</f>
        <v/>
      </c>
      <c r="T367" s="14">
        <f>IFERROR((T266-S266)/S266,"-")</f>
        <v/>
      </c>
      <c r="U367" s="14">
        <f>IFERROR((U266-T266)/T266,"-")</f>
        <v/>
      </c>
      <c r="V367" s="14">
        <f>IFERROR((V266-U266)/U266,"-")</f>
        <v/>
      </c>
      <c r="W367" s="8" t="n"/>
      <c r="X367" s="22">
        <f>IFERROR((X266-V266)/V266,"-")</f>
        <v/>
      </c>
    </row>
    <row r="368">
      <c r="A368" s="9" t="inlineStr">
        <is>
          <t>ADSK</t>
        </is>
      </c>
      <c r="D368" s="7" t="n"/>
      <c r="E368" s="14">
        <f>IFERROR((E267-D267)/D267,"-")</f>
        <v/>
      </c>
      <c r="F368" s="14">
        <f>IFERROR((F267-E267)/E267,"-")</f>
        <v/>
      </c>
      <c r="G368" s="14">
        <f>IFERROR((G267-F267)/F267,"-")</f>
        <v/>
      </c>
      <c r="H368" s="8" t="n"/>
      <c r="I368" s="22">
        <f>IFERROR((I267-G267)/G267,"-")</f>
        <v/>
      </c>
      <c r="J368" s="14">
        <f>IFERROR((J267-I267)/I267,"-")</f>
        <v/>
      </c>
      <c r="K368" s="14">
        <f>IFERROR((K267-J267)/J267,"-")</f>
        <v/>
      </c>
      <c r="L368" s="14">
        <f>IFERROR((L267-K267)/K267,"-")</f>
        <v/>
      </c>
      <c r="M368" s="8" t="n"/>
      <c r="N368" s="22">
        <f>IFERROR((N267-L267)/L267,"-")</f>
        <v/>
      </c>
      <c r="O368" s="14">
        <f>IFERROR((O267-N267)/N267,"-")</f>
        <v/>
      </c>
      <c r="P368" s="14">
        <f>IFERROR((P267-O267)/O267,"-")</f>
        <v/>
      </c>
      <c r="Q368" s="14">
        <f>IFERROR((Q267-P267)/P267,"-")</f>
        <v/>
      </c>
      <c r="R368" s="8" t="n"/>
      <c r="S368" s="22">
        <f>IFERROR((S267-Q267)/Q267,"-")</f>
        <v/>
      </c>
      <c r="T368" s="14">
        <f>IFERROR((T267-S267)/S267,"-")</f>
        <v/>
      </c>
      <c r="U368" s="14">
        <f>IFERROR((U267-T267)/T267,"-")</f>
        <v/>
      </c>
      <c r="V368" s="14">
        <f>IFERROR((V267-U267)/U267,"-")</f>
        <v/>
      </c>
      <c r="W368" s="8" t="n"/>
      <c r="X368" s="22">
        <f>IFERROR((X267-V267)/V267,"-")</f>
        <v/>
      </c>
    </row>
    <row r="369">
      <c r="A369" s="9" t="inlineStr">
        <is>
          <t>FTNT</t>
        </is>
      </c>
      <c r="D369" s="7" t="n"/>
      <c r="E369" s="14">
        <f>IFERROR((E268-D268)/D268,"-")</f>
        <v/>
      </c>
      <c r="F369" s="14">
        <f>IFERROR((F268-E268)/E268,"-")</f>
        <v/>
      </c>
      <c r="G369" s="14">
        <f>IFERROR((G268-F268)/F268,"-")</f>
        <v/>
      </c>
      <c r="H369" s="8" t="n"/>
      <c r="I369" s="22">
        <f>IFERROR((I268-G268)/G268,"-")</f>
        <v/>
      </c>
      <c r="J369" s="14">
        <f>IFERROR((J268-I268)/I268,"-")</f>
        <v/>
      </c>
      <c r="K369" s="14">
        <f>IFERROR((K268-J268)/J268,"-")</f>
        <v/>
      </c>
      <c r="L369" s="14">
        <f>IFERROR((L268-K268)/K268,"-")</f>
        <v/>
      </c>
      <c r="M369" s="8" t="n"/>
      <c r="N369" s="22">
        <f>IFERROR((N268-L268)/L268,"-")</f>
        <v/>
      </c>
      <c r="O369" s="14">
        <f>IFERROR((O268-N268)/N268,"-")</f>
        <v/>
      </c>
      <c r="P369" s="14">
        <f>IFERROR((P268-O268)/O268,"-")</f>
        <v/>
      </c>
      <c r="Q369" s="14">
        <f>IFERROR((Q268-P268)/P268,"-")</f>
        <v/>
      </c>
      <c r="R369" s="8" t="n"/>
      <c r="S369" s="22">
        <f>IFERROR((S268-Q268)/Q268,"-")</f>
        <v/>
      </c>
      <c r="T369" s="14">
        <f>IFERROR((T268-S268)/S268,"-")</f>
        <v/>
      </c>
      <c r="U369" s="14">
        <f>IFERROR((U268-T268)/T268,"-")</f>
        <v/>
      </c>
      <c r="V369" s="14">
        <f>IFERROR((V268-U268)/U268,"-")</f>
        <v/>
      </c>
      <c r="W369" s="8" t="n"/>
      <c r="X369" s="22">
        <f>IFERROR((X268-V268)/V268,"-")</f>
        <v/>
      </c>
    </row>
    <row r="370">
      <c r="A370" s="9" t="inlineStr">
        <is>
          <t>TOST</t>
        </is>
      </c>
      <c r="D370" s="7" t="n"/>
      <c r="E370" s="14">
        <f>IFERROR((E269-D269)/D269,"-")</f>
        <v/>
      </c>
      <c r="F370" s="14">
        <f>IFERROR((F269-E269)/E269,"-")</f>
        <v/>
      </c>
      <c r="G370" s="14">
        <f>IFERROR((G269-F269)/F269,"-")</f>
        <v/>
      </c>
      <c r="H370" s="8" t="n"/>
      <c r="I370" s="22">
        <f>IFERROR((I269-G269)/G269,"-")</f>
        <v/>
      </c>
      <c r="J370" s="14">
        <f>IFERROR((J269-I269)/I269,"-")</f>
        <v/>
      </c>
      <c r="K370" s="14">
        <f>IFERROR((K269-J269)/J269,"-")</f>
        <v/>
      </c>
      <c r="L370" s="14">
        <f>IFERROR((L269-K269)/K269,"-")</f>
        <v/>
      </c>
      <c r="M370" s="8" t="n"/>
      <c r="N370" s="22">
        <f>IFERROR((N269-L269)/L269,"-")</f>
        <v/>
      </c>
      <c r="O370" s="14">
        <f>IFERROR((O269-N269)/N269,"-")</f>
        <v/>
      </c>
      <c r="P370" s="14">
        <f>IFERROR((P269-O269)/O269,"-")</f>
        <v/>
      </c>
      <c r="Q370" s="14">
        <f>IFERROR((Q269-P269)/P269,"-")</f>
        <v/>
      </c>
      <c r="R370" s="8" t="n"/>
      <c r="S370" s="22">
        <f>IFERROR((S269-Q269)/Q269,"-")</f>
        <v/>
      </c>
      <c r="T370" s="14">
        <f>IFERROR((T269-S269)/S269,"-")</f>
        <v/>
      </c>
      <c r="U370" s="14">
        <f>IFERROR((U269-T269)/T269,"-")</f>
        <v/>
      </c>
      <c r="V370" s="14">
        <f>IFERROR((V269-U269)/U269,"-")</f>
        <v/>
      </c>
      <c r="W370" s="8" t="n"/>
      <c r="X370" s="22">
        <f>IFERROR((X269-V269)/V269,"-")</f>
        <v/>
      </c>
    </row>
    <row r="371">
      <c r="A371" s="9" t="inlineStr">
        <is>
          <t>TEAM</t>
        </is>
      </c>
      <c r="D371" s="7" t="n"/>
      <c r="E371" s="14">
        <f>IFERROR((E270-D270)/D270,"-")</f>
        <v/>
      </c>
      <c r="F371" s="14">
        <f>IFERROR((F270-E270)/E270,"-")</f>
        <v/>
      </c>
      <c r="G371" s="14">
        <f>IFERROR((G270-F270)/F270,"-")</f>
        <v/>
      </c>
      <c r="H371" s="8" t="n"/>
      <c r="I371" s="22">
        <f>IFERROR((I270-G270)/G270,"-")</f>
        <v/>
      </c>
      <c r="J371" s="14">
        <f>IFERROR((J270-I270)/I270,"-")</f>
        <v/>
      </c>
      <c r="K371" s="14">
        <f>IFERROR((K270-J270)/J270,"-")</f>
        <v/>
      </c>
      <c r="L371" s="14">
        <f>IFERROR((L270-K270)/K270,"-")</f>
        <v/>
      </c>
      <c r="M371" s="8" t="n"/>
      <c r="N371" s="22">
        <f>IFERROR((N270-L270)/L270,"-")</f>
        <v/>
      </c>
      <c r="O371" s="14">
        <f>IFERROR((O270-N270)/N270,"-")</f>
        <v/>
      </c>
      <c r="P371" s="14">
        <f>IFERROR((P270-O270)/O270,"-")</f>
        <v/>
      </c>
      <c r="Q371" s="14">
        <f>IFERROR((Q270-P270)/P270,"-")</f>
        <v/>
      </c>
      <c r="R371" s="8" t="n"/>
      <c r="S371" s="22">
        <f>IFERROR((S270-Q270)/Q270,"-")</f>
        <v/>
      </c>
      <c r="T371" s="14">
        <f>IFERROR((T270-S270)/S270,"-")</f>
        <v/>
      </c>
      <c r="U371" s="14">
        <f>IFERROR((U270-T270)/T270,"-")</f>
        <v/>
      </c>
      <c r="V371" s="14">
        <f>IFERROR((V270-U270)/U270,"-")</f>
        <v/>
      </c>
      <c r="W371" s="8" t="n"/>
      <c r="X371" s="22">
        <f>IFERROR((X270-V270)/V270,"-")</f>
        <v/>
      </c>
    </row>
    <row r="372">
      <c r="A372" s="9" t="inlineStr">
        <is>
          <t>APP</t>
        </is>
      </c>
      <c r="D372" s="7" t="n"/>
      <c r="E372" s="14">
        <f>IFERROR((E271-D271)/D271,"-")</f>
        <v/>
      </c>
      <c r="F372" s="14">
        <f>IFERROR((F271-E271)/E271,"-")</f>
        <v/>
      </c>
      <c r="G372" s="14">
        <f>IFERROR((G271-F271)/F271,"-")</f>
        <v/>
      </c>
      <c r="H372" s="8" t="n"/>
      <c r="I372" s="22">
        <f>IFERROR((I271-G271)/G271,"-")</f>
        <v/>
      </c>
      <c r="J372" s="14">
        <f>IFERROR((J271-I271)/I271,"-")</f>
        <v/>
      </c>
      <c r="K372" s="14">
        <f>IFERROR((K271-J271)/J271,"-")</f>
        <v/>
      </c>
      <c r="L372" s="14">
        <f>IFERROR((L271-K271)/K271,"-")</f>
        <v/>
      </c>
      <c r="M372" s="8" t="n"/>
      <c r="N372" s="22">
        <f>IFERROR((N271-L271)/L271,"-")</f>
        <v/>
      </c>
      <c r="O372" s="14">
        <f>IFERROR((O271-N271)/N271,"-")</f>
        <v/>
      </c>
      <c r="P372" s="14">
        <f>IFERROR((P271-O271)/O271,"-")</f>
        <v/>
      </c>
      <c r="Q372" s="14">
        <f>IFERROR((Q271-P271)/P271,"-")</f>
        <v/>
      </c>
      <c r="R372" s="8" t="n"/>
      <c r="S372" s="22">
        <f>IFERROR((S271-Q271)/Q271,"-")</f>
        <v/>
      </c>
      <c r="T372" s="14">
        <f>IFERROR((T271-S271)/S271,"-")</f>
        <v/>
      </c>
      <c r="U372" s="14">
        <f>IFERROR((U271-T271)/T271,"-")</f>
        <v/>
      </c>
      <c r="V372" s="14">
        <f>IFERROR((V271-U271)/U271,"-")</f>
        <v/>
      </c>
      <c r="W372" s="8" t="n"/>
      <c r="X372" s="22">
        <f>IFERROR((X271-V271)/V271,"-")</f>
        <v/>
      </c>
    </row>
    <row r="373">
      <c r="A373" s="9" t="inlineStr">
        <is>
          <t>CDNS</t>
        </is>
      </c>
      <c r="D373" s="7" t="n"/>
      <c r="E373" s="14">
        <f>IFERROR((E272-D272)/D272,"-")</f>
        <v/>
      </c>
      <c r="F373" s="14">
        <f>IFERROR((F272-E272)/E272,"-")</f>
        <v/>
      </c>
      <c r="G373" s="14">
        <f>IFERROR((G272-F272)/F272,"-")</f>
        <v/>
      </c>
      <c r="H373" s="8" t="n"/>
      <c r="I373" s="22">
        <f>IFERROR((I272-G272)/G272,"-")</f>
        <v/>
      </c>
      <c r="J373" s="14">
        <f>IFERROR((J272-I272)/I272,"-")</f>
        <v/>
      </c>
      <c r="K373" s="14">
        <f>IFERROR((K272-J272)/J272,"-")</f>
        <v/>
      </c>
      <c r="L373" s="14">
        <f>IFERROR((L272-K272)/K272,"-")</f>
        <v/>
      </c>
      <c r="M373" s="8" t="n"/>
      <c r="N373" s="22">
        <f>IFERROR((N272-L272)/L272,"-")</f>
        <v/>
      </c>
      <c r="O373" s="14">
        <f>IFERROR((O272-N272)/N272,"-")</f>
        <v/>
      </c>
      <c r="P373" s="14">
        <f>IFERROR((P272-O272)/O272,"-")</f>
        <v/>
      </c>
      <c r="Q373" s="14">
        <f>IFERROR((Q272-P272)/P272,"-")</f>
        <v/>
      </c>
      <c r="R373" s="8" t="n"/>
      <c r="S373" s="22">
        <f>IFERROR((S272-Q272)/Q272,"-")</f>
        <v/>
      </c>
      <c r="T373" s="14">
        <f>IFERROR((T272-S272)/S272,"-")</f>
        <v/>
      </c>
      <c r="U373" s="14">
        <f>IFERROR((U272-T272)/T272,"-")</f>
        <v/>
      </c>
      <c r="V373" s="14">
        <f>IFERROR((V272-U272)/U272,"-")</f>
        <v/>
      </c>
      <c r="W373" s="8" t="n"/>
      <c r="X373" s="22">
        <f>IFERROR((X272-V272)/V272,"-")</f>
        <v/>
      </c>
    </row>
    <row r="374">
      <c r="A374" s="9" t="inlineStr">
        <is>
          <t>CRWD</t>
        </is>
      </c>
      <c r="D374" s="7" t="n"/>
      <c r="E374" s="14">
        <f>IFERROR((E273-D273)/D273,"-")</f>
        <v/>
      </c>
      <c r="F374" s="14">
        <f>IFERROR((F273-E273)/E273,"-")</f>
        <v/>
      </c>
      <c r="G374" s="14">
        <f>IFERROR((G273-F273)/F273,"-")</f>
        <v/>
      </c>
      <c r="H374" s="8" t="n"/>
      <c r="I374" s="22">
        <f>IFERROR((I273-G273)/G273,"-")</f>
        <v/>
      </c>
      <c r="J374" s="14">
        <f>IFERROR((J273-I273)/I273,"-")</f>
        <v/>
      </c>
      <c r="K374" s="14">
        <f>IFERROR((K273-J273)/J273,"-")</f>
        <v/>
      </c>
      <c r="L374" s="14">
        <f>IFERROR((L273-K273)/K273,"-")</f>
        <v/>
      </c>
      <c r="M374" s="8" t="n"/>
      <c r="N374" s="22">
        <f>IFERROR((N273-L273)/L273,"-")</f>
        <v/>
      </c>
      <c r="O374" s="14">
        <f>IFERROR((O273-N273)/N273,"-")</f>
        <v/>
      </c>
      <c r="P374" s="14">
        <f>IFERROR((P273-O273)/O273,"-")</f>
        <v/>
      </c>
      <c r="Q374" s="14">
        <f>IFERROR((Q273-P273)/P273,"-")</f>
        <v/>
      </c>
      <c r="R374" s="8" t="n"/>
      <c r="S374" s="22">
        <f>IFERROR((S273-Q273)/Q273,"-")</f>
        <v/>
      </c>
      <c r="T374" s="14">
        <f>IFERROR((T273-S273)/S273,"-")</f>
        <v/>
      </c>
      <c r="U374" s="14">
        <f>IFERROR((U273-T273)/T273,"-")</f>
        <v/>
      </c>
      <c r="V374" s="14">
        <f>IFERROR((V273-U273)/U273,"-")</f>
        <v/>
      </c>
      <c r="W374" s="8" t="n"/>
      <c r="X374" s="22">
        <f>IFERROR((X273-V273)/V273,"-")</f>
        <v/>
      </c>
    </row>
    <row r="375">
      <c r="A375" s="9" t="inlineStr">
        <is>
          <t>SNOW</t>
        </is>
      </c>
      <c r="D375" s="7" t="n"/>
      <c r="E375" s="14">
        <f>IFERROR((E274-D274)/D274,"-")</f>
        <v/>
      </c>
      <c r="F375" s="14">
        <f>IFERROR((F274-E274)/E274,"-")</f>
        <v/>
      </c>
      <c r="G375" s="14">
        <f>IFERROR((G274-F274)/F274,"-")</f>
        <v/>
      </c>
      <c r="H375" s="8" t="n"/>
      <c r="I375" s="22">
        <f>IFERROR((I274-G274)/G274,"-")</f>
        <v/>
      </c>
      <c r="J375" s="14">
        <f>IFERROR((J274-I274)/I274,"-")</f>
        <v/>
      </c>
      <c r="K375" s="14">
        <f>IFERROR((K274-J274)/J274,"-")</f>
        <v/>
      </c>
      <c r="L375" s="14">
        <f>IFERROR((L274-K274)/K274,"-")</f>
        <v/>
      </c>
      <c r="M375" s="8" t="n"/>
      <c r="N375" s="22">
        <f>IFERROR((N274-L274)/L274,"-")</f>
        <v/>
      </c>
      <c r="O375" s="14">
        <f>IFERROR((O274-N274)/N274,"-")</f>
        <v/>
      </c>
      <c r="P375" s="14">
        <f>IFERROR((P274-O274)/O274,"-")</f>
        <v/>
      </c>
      <c r="Q375" s="14">
        <f>IFERROR((Q274-P274)/P274,"-")</f>
        <v/>
      </c>
      <c r="R375" s="8" t="n"/>
      <c r="S375" s="22">
        <f>IFERROR((S274-Q274)/Q274,"-")</f>
        <v/>
      </c>
      <c r="T375" s="14">
        <f>IFERROR((T274-S274)/S274,"-")</f>
        <v/>
      </c>
      <c r="U375" s="14">
        <f>IFERROR((U274-T274)/T274,"-")</f>
        <v/>
      </c>
      <c r="V375" s="14">
        <f>IFERROR((V274-U274)/U274,"-")</f>
        <v/>
      </c>
      <c r="W375" s="8" t="n"/>
      <c r="X375" s="22">
        <f>IFERROR((X274-V274)/V274,"-")</f>
        <v/>
      </c>
    </row>
    <row r="376">
      <c r="A376" s="9" t="inlineStr">
        <is>
          <t>PLTR</t>
        </is>
      </c>
      <c r="D376" s="7" t="n"/>
      <c r="E376" s="14">
        <f>IFERROR((E275-D275)/D275,"-")</f>
        <v/>
      </c>
      <c r="F376" s="14">
        <f>IFERROR((F275-E275)/E275,"-")</f>
        <v/>
      </c>
      <c r="G376" s="14">
        <f>IFERROR((G275-F275)/F275,"-")</f>
        <v/>
      </c>
      <c r="H376" s="8" t="n"/>
      <c r="I376" s="22">
        <f>IFERROR((I275-G275)/G275,"-")</f>
        <v/>
      </c>
      <c r="J376" s="14">
        <f>IFERROR((J275-I275)/I275,"-")</f>
        <v/>
      </c>
      <c r="K376" s="14">
        <f>IFERROR((K275-J275)/J275,"-")</f>
        <v/>
      </c>
      <c r="L376" s="14">
        <f>IFERROR((L275-K275)/K275,"-")</f>
        <v/>
      </c>
      <c r="M376" s="8" t="n"/>
      <c r="N376" s="22">
        <f>IFERROR((N275-L275)/L275,"-")</f>
        <v/>
      </c>
      <c r="O376" s="14">
        <f>IFERROR((O275-N275)/N275,"-")</f>
        <v/>
      </c>
      <c r="P376" s="14">
        <f>IFERROR((P275-O275)/O275,"-")</f>
        <v/>
      </c>
      <c r="Q376" s="14">
        <f>IFERROR((Q275-P275)/P275,"-")</f>
        <v/>
      </c>
      <c r="R376" s="8" t="n"/>
      <c r="S376" s="22">
        <f>IFERROR((S275-Q275)/Q275,"-")</f>
        <v/>
      </c>
      <c r="T376" s="14">
        <f>IFERROR((T275-S275)/S275,"-")</f>
        <v/>
      </c>
      <c r="U376" s="14">
        <f>IFERROR((U275-T275)/T275,"-")</f>
        <v/>
      </c>
      <c r="V376" s="14">
        <f>IFERROR((V275-U275)/U275,"-")</f>
        <v/>
      </c>
      <c r="W376" s="8" t="n"/>
      <c r="X376" s="22">
        <f>IFERROR((X275-V275)/V275,"-")</f>
        <v/>
      </c>
    </row>
    <row r="377">
      <c r="A377" s="9" t="inlineStr">
        <is>
          <t>DDOG</t>
        </is>
      </c>
      <c r="D377" s="7" t="n"/>
      <c r="E377" s="14">
        <f>IFERROR((E276-D276)/D276,"-")</f>
        <v/>
      </c>
      <c r="F377" s="14">
        <f>IFERROR((F276-E276)/E276,"-")</f>
        <v/>
      </c>
      <c r="G377" s="14">
        <f>IFERROR((G276-F276)/F276,"-")</f>
        <v/>
      </c>
      <c r="H377" s="8" t="n"/>
      <c r="I377" s="22">
        <f>IFERROR((I276-G276)/G276,"-")</f>
        <v/>
      </c>
      <c r="J377" s="14">
        <f>IFERROR((J276-I276)/I276,"-")</f>
        <v/>
      </c>
      <c r="K377" s="14">
        <f>IFERROR((K276-J276)/J276,"-")</f>
        <v/>
      </c>
      <c r="L377" s="14">
        <f>IFERROR((L276-K276)/K276,"-")</f>
        <v/>
      </c>
      <c r="M377" s="8" t="n"/>
      <c r="N377" s="22">
        <f>IFERROR((N276-L276)/L276,"-")</f>
        <v/>
      </c>
      <c r="O377" s="14">
        <f>IFERROR((O276-N276)/N276,"-")</f>
        <v/>
      </c>
      <c r="P377" s="14">
        <f>IFERROR((P276-O276)/O276,"-")</f>
        <v/>
      </c>
      <c r="Q377" s="14">
        <f>IFERROR((Q276-P276)/P276,"-")</f>
        <v/>
      </c>
      <c r="R377" s="8" t="n"/>
      <c r="S377" s="22">
        <f>IFERROR((S276-Q276)/Q276,"-")</f>
        <v/>
      </c>
      <c r="T377" s="14">
        <f>IFERROR((T276-S276)/S276,"-")</f>
        <v/>
      </c>
      <c r="U377" s="14">
        <f>IFERROR((U276-T276)/T276,"-")</f>
        <v/>
      </c>
      <c r="V377" s="14">
        <f>IFERROR((V276-U276)/U276,"-")</f>
        <v/>
      </c>
      <c r="W377" s="8" t="n"/>
      <c r="X377" s="22">
        <f>IFERROR((X276-V276)/V276,"-")</f>
        <v/>
      </c>
    </row>
    <row r="378">
      <c r="A378" s="9" t="inlineStr">
        <is>
          <t>VEEV</t>
        </is>
      </c>
      <c r="D378" s="7" t="n"/>
      <c r="E378" s="14">
        <f>IFERROR((E277-D277)/D277,"-")</f>
        <v/>
      </c>
      <c r="F378" s="14">
        <f>IFERROR((F277-E277)/E277,"-")</f>
        <v/>
      </c>
      <c r="G378" s="14">
        <f>IFERROR((G277-F277)/F277,"-")</f>
        <v/>
      </c>
      <c r="H378" s="8" t="n"/>
      <c r="I378" s="22">
        <f>IFERROR((I277-G277)/G277,"-")</f>
        <v/>
      </c>
      <c r="J378" s="14">
        <f>IFERROR((J277-I277)/I277,"-")</f>
        <v/>
      </c>
      <c r="K378" s="14">
        <f>IFERROR((K277-J277)/J277,"-")</f>
        <v/>
      </c>
      <c r="L378" s="14">
        <f>IFERROR((L277-K277)/K277,"-")</f>
        <v/>
      </c>
      <c r="M378" s="8" t="n"/>
      <c r="N378" s="22">
        <f>IFERROR((N277-L277)/L277,"-")</f>
        <v/>
      </c>
      <c r="O378" s="14">
        <f>IFERROR((O277-N277)/N277,"-")</f>
        <v/>
      </c>
      <c r="P378" s="14">
        <f>IFERROR((P277-O277)/O277,"-")</f>
        <v/>
      </c>
      <c r="Q378" s="14">
        <f>IFERROR((Q277-P277)/P277,"-")</f>
        <v/>
      </c>
      <c r="R378" s="8" t="n"/>
      <c r="S378" s="22">
        <f>IFERROR((S277-Q277)/Q277,"-")</f>
        <v/>
      </c>
      <c r="T378" s="14">
        <f>IFERROR((T277-S277)/S277,"-")</f>
        <v/>
      </c>
      <c r="U378" s="14">
        <f>IFERROR((U277-T277)/T277,"-")</f>
        <v/>
      </c>
      <c r="V378" s="14">
        <f>IFERROR((V277-U277)/U277,"-")</f>
        <v/>
      </c>
      <c r="W378" s="8" t="n"/>
      <c r="X378" s="22">
        <f>IFERROR((X277-V277)/V277,"-")</f>
        <v/>
      </c>
    </row>
    <row r="379">
      <c r="A379" s="9" t="inlineStr">
        <is>
          <t>HUBS</t>
        </is>
      </c>
      <c r="D379" s="7" t="n"/>
      <c r="E379" s="14">
        <f>IFERROR((E278-D278)/D278,"-")</f>
        <v/>
      </c>
      <c r="F379" s="14">
        <f>IFERROR((F278-E278)/E278,"-")</f>
        <v/>
      </c>
      <c r="G379" s="14">
        <f>IFERROR((G278-F278)/F278,"-")</f>
        <v/>
      </c>
      <c r="H379" s="8" t="n"/>
      <c r="I379" s="22">
        <f>IFERROR((I278-G278)/G278,"-")</f>
        <v/>
      </c>
      <c r="J379" s="14">
        <f>IFERROR((J278-I278)/I278,"-")</f>
        <v/>
      </c>
      <c r="K379" s="14">
        <f>IFERROR((K278-J278)/J278,"-")</f>
        <v/>
      </c>
      <c r="L379" s="14">
        <f>IFERROR((L278-K278)/K278,"-")</f>
        <v/>
      </c>
      <c r="M379" s="8" t="n"/>
      <c r="N379" s="22">
        <f>IFERROR((N278-L278)/L278,"-")</f>
        <v/>
      </c>
      <c r="O379" s="14">
        <f>IFERROR((O278-N278)/N278,"-")</f>
        <v/>
      </c>
      <c r="P379" s="14">
        <f>IFERROR((P278-O278)/O278,"-")</f>
        <v/>
      </c>
      <c r="Q379" s="14">
        <f>IFERROR((Q278-P278)/P278,"-")</f>
        <v/>
      </c>
      <c r="R379" s="8" t="n"/>
      <c r="S379" s="22">
        <f>IFERROR((S278-Q278)/Q278,"-")</f>
        <v/>
      </c>
      <c r="T379" s="14">
        <f>IFERROR((T278-S278)/S278,"-")</f>
        <v/>
      </c>
      <c r="U379" s="14">
        <f>IFERROR((U278-T278)/T278,"-")</f>
        <v/>
      </c>
      <c r="V379" s="14">
        <f>IFERROR((V278-U278)/U278,"-")</f>
        <v/>
      </c>
      <c r="W379" s="8" t="n"/>
      <c r="X379" s="22">
        <f>IFERROR((X278-V278)/V278,"-")</f>
        <v/>
      </c>
    </row>
    <row r="380">
      <c r="A380" s="9" t="inlineStr">
        <is>
          <t>ZS</t>
        </is>
      </c>
      <c r="D380" s="7" t="n"/>
      <c r="E380" s="14">
        <f>IFERROR((E279-D279)/D279,"-")</f>
        <v/>
      </c>
      <c r="F380" s="14">
        <f>IFERROR((F279-E279)/E279,"-")</f>
        <v/>
      </c>
      <c r="G380" s="14">
        <f>IFERROR((G279-F279)/F279,"-")</f>
        <v/>
      </c>
      <c r="H380" s="8" t="n"/>
      <c r="I380" s="22">
        <f>IFERROR((I279-G279)/G279,"-")</f>
        <v/>
      </c>
      <c r="J380" s="14">
        <f>IFERROR((J279-I279)/I279,"-")</f>
        <v/>
      </c>
      <c r="K380" s="14">
        <f>IFERROR((K279-J279)/J279,"-")</f>
        <v/>
      </c>
      <c r="L380" s="14">
        <f>IFERROR((L279-K279)/K279,"-")</f>
        <v/>
      </c>
      <c r="M380" s="8" t="n"/>
      <c r="N380" s="22">
        <f>IFERROR((N279-L279)/L279,"-")</f>
        <v/>
      </c>
      <c r="O380" s="14">
        <f>IFERROR((O279-N279)/N279,"-")</f>
        <v/>
      </c>
      <c r="P380" s="14">
        <f>IFERROR((P279-O279)/O279,"-")</f>
        <v/>
      </c>
      <c r="Q380" s="14">
        <f>IFERROR((Q279-P279)/P279,"-")</f>
        <v/>
      </c>
      <c r="R380" s="8" t="n"/>
      <c r="S380" s="22">
        <f>IFERROR((S279-Q279)/Q279,"-")</f>
        <v/>
      </c>
      <c r="T380" s="14">
        <f>IFERROR((T279-S279)/S279,"-")</f>
        <v/>
      </c>
      <c r="U380" s="14">
        <f>IFERROR((U279-T279)/T279,"-")</f>
        <v/>
      </c>
      <c r="V380" s="14">
        <f>IFERROR((V279-U279)/U279,"-")</f>
        <v/>
      </c>
      <c r="W380" s="8" t="n"/>
      <c r="X380" s="22">
        <f>IFERROR((X279-V279)/V279,"-")</f>
        <v/>
      </c>
    </row>
    <row r="381">
      <c r="A381" s="9" t="inlineStr">
        <is>
          <t>OKTA</t>
        </is>
      </c>
      <c r="D381" s="7" t="n"/>
      <c r="E381" s="14">
        <f>IFERROR((E280-D280)/D280,"-")</f>
        <v/>
      </c>
      <c r="F381" s="14">
        <f>IFERROR((F280-E280)/E280,"-")</f>
        <v/>
      </c>
      <c r="G381" s="14">
        <f>IFERROR((G280-F280)/F280,"-")</f>
        <v/>
      </c>
      <c r="H381" s="8" t="n"/>
      <c r="I381" s="22">
        <f>IFERROR((I280-G280)/G280,"-")</f>
        <v/>
      </c>
      <c r="J381" s="14">
        <f>IFERROR((J280-I280)/I280,"-")</f>
        <v/>
      </c>
      <c r="K381" s="14">
        <f>IFERROR((K280-J280)/J280,"-")</f>
        <v/>
      </c>
      <c r="L381" s="14">
        <f>IFERROR((L280-K280)/K280,"-")</f>
        <v/>
      </c>
      <c r="M381" s="8" t="n"/>
      <c r="N381" s="22">
        <f>IFERROR((N280-L280)/L280,"-")</f>
        <v/>
      </c>
      <c r="O381" s="14">
        <f>IFERROR((O280-N280)/N280,"-")</f>
        <v/>
      </c>
      <c r="P381" s="14">
        <f>IFERROR((P280-O280)/O280,"-")</f>
        <v/>
      </c>
      <c r="Q381" s="14">
        <f>IFERROR((Q280-P280)/P280,"-")</f>
        <v/>
      </c>
      <c r="R381" s="8" t="n"/>
      <c r="S381" s="22">
        <f>IFERROR((S280-Q280)/Q280,"-")</f>
        <v/>
      </c>
      <c r="T381" s="14">
        <f>IFERROR((T280-S280)/S280,"-")</f>
        <v/>
      </c>
      <c r="U381" s="14">
        <f>IFERROR((U280-T280)/T280,"-")</f>
        <v/>
      </c>
      <c r="V381" s="14">
        <f>IFERROR((V280-U280)/U280,"-")</f>
        <v/>
      </c>
      <c r="W381" s="8" t="n"/>
      <c r="X381" s="22">
        <f>IFERROR((X280-V280)/V280,"-")</f>
        <v/>
      </c>
    </row>
    <row r="382">
      <c r="A382" s="9" t="inlineStr">
        <is>
          <t>TTD</t>
        </is>
      </c>
      <c r="D382" s="7" t="n"/>
      <c r="E382" s="14">
        <f>IFERROR((E281-D281)/D281,"-")</f>
        <v/>
      </c>
      <c r="F382" s="14">
        <f>IFERROR((F281-E281)/E281,"-")</f>
        <v/>
      </c>
      <c r="G382" s="14">
        <f>IFERROR((G281-F281)/F281,"-")</f>
        <v/>
      </c>
      <c r="H382" s="8" t="n"/>
      <c r="I382" s="22">
        <f>IFERROR((I281-G281)/G281,"-")</f>
        <v/>
      </c>
      <c r="J382" s="14">
        <f>IFERROR((J281-I281)/I281,"-")</f>
        <v/>
      </c>
      <c r="K382" s="14">
        <f>IFERROR((K281-J281)/J281,"-")</f>
        <v/>
      </c>
      <c r="L382" s="14">
        <f>IFERROR((L281-K281)/K281,"-")</f>
        <v/>
      </c>
      <c r="M382" s="8" t="n"/>
      <c r="N382" s="22">
        <f>IFERROR((N281-L281)/L281,"-")</f>
        <v/>
      </c>
      <c r="O382" s="14">
        <f>IFERROR((O281-N281)/N281,"-")</f>
        <v/>
      </c>
      <c r="P382" s="14">
        <f>IFERROR((P281-O281)/O281,"-")</f>
        <v/>
      </c>
      <c r="Q382" s="14">
        <f>IFERROR((Q281-P281)/P281,"-")</f>
        <v/>
      </c>
      <c r="R382" s="8" t="n"/>
      <c r="S382" s="22">
        <f>IFERROR((S281-Q281)/Q281,"-")</f>
        <v/>
      </c>
      <c r="T382" s="14">
        <f>IFERROR((T281-S281)/S281,"-")</f>
        <v/>
      </c>
      <c r="U382" s="14">
        <f>IFERROR((U281-T281)/T281,"-")</f>
        <v/>
      </c>
      <c r="V382" s="14">
        <f>IFERROR((V281-U281)/U281,"-")</f>
        <v/>
      </c>
      <c r="W382" s="8" t="n"/>
      <c r="X382" s="22">
        <f>IFERROR((X281-V281)/V281,"-")</f>
        <v/>
      </c>
    </row>
    <row r="383">
      <c r="A383" s="9" t="inlineStr">
        <is>
          <t>MDB</t>
        </is>
      </c>
      <c r="D383" s="7" t="n"/>
      <c r="E383" s="14">
        <f>IFERROR((E282-D282)/D282,"-")</f>
        <v/>
      </c>
      <c r="F383" s="14">
        <f>IFERROR((F282-E282)/E282,"-")</f>
        <v/>
      </c>
      <c r="G383" s="14">
        <f>IFERROR((G282-F282)/F282,"-")</f>
        <v/>
      </c>
      <c r="H383" s="8" t="n"/>
      <c r="I383" s="22">
        <f>IFERROR((I282-G282)/G282,"-")</f>
        <v/>
      </c>
      <c r="J383" s="14">
        <f>IFERROR((J282-I282)/I282,"-")</f>
        <v/>
      </c>
      <c r="K383" s="14">
        <f>IFERROR((K282-J282)/J282,"-")</f>
        <v/>
      </c>
      <c r="L383" s="14">
        <f>IFERROR((L282-K282)/K282,"-")</f>
        <v/>
      </c>
      <c r="M383" s="8" t="n"/>
      <c r="N383" s="22">
        <f>IFERROR((N282-L282)/L282,"-")</f>
        <v/>
      </c>
      <c r="O383" s="14">
        <f>IFERROR((O282-N282)/N282,"-")</f>
        <v/>
      </c>
      <c r="P383" s="14">
        <f>IFERROR((P282-O282)/O282,"-")</f>
        <v/>
      </c>
      <c r="Q383" s="14">
        <f>IFERROR((Q282-P282)/P282,"-")</f>
        <v/>
      </c>
      <c r="R383" s="8" t="n"/>
      <c r="S383" s="22">
        <f>IFERROR((S282-Q282)/Q282,"-")</f>
        <v/>
      </c>
      <c r="T383" s="14">
        <f>IFERROR((T282-S282)/S282,"-")</f>
        <v/>
      </c>
      <c r="U383" s="14">
        <f>IFERROR((U282-T282)/T282,"-")</f>
        <v/>
      </c>
      <c r="V383" s="14">
        <f>IFERROR((V282-U282)/U282,"-")</f>
        <v/>
      </c>
      <c r="W383" s="8" t="n"/>
      <c r="X383" s="22">
        <f>IFERROR((X282-V282)/V282,"-")</f>
        <v/>
      </c>
    </row>
    <row r="384">
      <c r="A384" s="9" t="inlineStr">
        <is>
          <t>PAYC</t>
        </is>
      </c>
      <c r="D384" s="7" t="n"/>
      <c r="E384" s="14">
        <f>IFERROR((E283-D283)/D283,"-")</f>
        <v/>
      </c>
      <c r="F384" s="14">
        <f>IFERROR((F283-E283)/E283,"-")</f>
        <v/>
      </c>
      <c r="G384" s="14">
        <f>IFERROR((G283-F283)/F283,"-")</f>
        <v/>
      </c>
      <c r="H384" s="8" t="n"/>
      <c r="I384" s="22">
        <f>IFERROR((I283-G283)/G283,"-")</f>
        <v/>
      </c>
      <c r="J384" s="14">
        <f>IFERROR((J283-I283)/I283,"-")</f>
        <v/>
      </c>
      <c r="K384" s="14">
        <f>IFERROR((K283-J283)/J283,"-")</f>
        <v/>
      </c>
      <c r="L384" s="14">
        <f>IFERROR((L283-K283)/K283,"-")</f>
        <v/>
      </c>
      <c r="M384" s="8" t="n"/>
      <c r="N384" s="22">
        <f>IFERROR((N283-L283)/L283,"-")</f>
        <v/>
      </c>
      <c r="O384" s="14">
        <f>IFERROR((O283-N283)/N283,"-")</f>
        <v/>
      </c>
      <c r="P384" s="14">
        <f>IFERROR((P283-O283)/O283,"-")</f>
        <v/>
      </c>
      <c r="Q384" s="14">
        <f>IFERROR((Q283-P283)/P283,"-")</f>
        <v/>
      </c>
      <c r="R384" s="8" t="n"/>
      <c r="S384" s="22">
        <f>IFERROR((S283-Q283)/Q283,"-")</f>
        <v/>
      </c>
      <c r="T384" s="14">
        <f>IFERROR((T283-S283)/S283,"-")</f>
        <v/>
      </c>
      <c r="U384" s="14">
        <f>IFERROR((U283-T283)/T283,"-")</f>
        <v/>
      </c>
      <c r="V384" s="14">
        <f>IFERROR((V283-U283)/U283,"-")</f>
        <v/>
      </c>
      <c r="W384" s="8" t="n"/>
      <c r="X384" s="22">
        <f>IFERROR((X283-V283)/V283,"-")</f>
        <v/>
      </c>
    </row>
    <row r="385">
      <c r="A385" s="9" t="inlineStr">
        <is>
          <t>DT</t>
        </is>
      </c>
      <c r="D385" s="7" t="n"/>
      <c r="E385" s="14">
        <f>IFERROR((E284-D284)/D284,"-")</f>
        <v/>
      </c>
      <c r="F385" s="14">
        <f>IFERROR((F284-E284)/E284,"-")</f>
        <v/>
      </c>
      <c r="G385" s="14">
        <f>IFERROR((G284-F284)/F284,"-")</f>
        <v/>
      </c>
      <c r="H385" s="8" t="n"/>
      <c r="I385" s="22">
        <f>IFERROR((I284-G284)/G284,"-")</f>
        <v/>
      </c>
      <c r="J385" s="14">
        <f>IFERROR((J284-I284)/I284,"-")</f>
        <v/>
      </c>
      <c r="K385" s="14">
        <f>IFERROR((K284-J284)/J284,"-")</f>
        <v/>
      </c>
      <c r="L385" s="14">
        <f>IFERROR((L284-K284)/K284,"-")</f>
        <v/>
      </c>
      <c r="M385" s="8" t="n"/>
      <c r="N385" s="22">
        <f>IFERROR((N284-L284)/L284,"-")</f>
        <v/>
      </c>
      <c r="O385" s="14">
        <f>IFERROR((O284-N284)/N284,"-")</f>
        <v/>
      </c>
      <c r="P385" s="14">
        <f>IFERROR((P284-O284)/O284,"-")</f>
        <v/>
      </c>
      <c r="Q385" s="14">
        <f>IFERROR((Q284-P284)/P284,"-")</f>
        <v/>
      </c>
      <c r="R385" s="8" t="n"/>
      <c r="S385" s="22">
        <f>IFERROR((S284-Q284)/Q284,"-")</f>
        <v/>
      </c>
      <c r="T385" s="14">
        <f>IFERROR((T284-S284)/S284,"-")</f>
        <v/>
      </c>
      <c r="U385" s="14">
        <f>IFERROR((U284-T284)/T284,"-")</f>
        <v/>
      </c>
      <c r="V385" s="14">
        <f>IFERROR((V284-U284)/U284,"-")</f>
        <v/>
      </c>
      <c r="W385" s="8" t="n"/>
      <c r="X385" s="22">
        <f>IFERROR((X284-V284)/V284,"-")</f>
        <v/>
      </c>
    </row>
    <row r="386">
      <c r="A386" s="9" t="inlineStr">
        <is>
          <t>PCTY</t>
        </is>
      </c>
      <c r="D386" s="7" t="n"/>
      <c r="E386" s="14">
        <f>IFERROR((E285-D285)/D285,"-")</f>
        <v/>
      </c>
      <c r="F386" s="14">
        <f>IFERROR((F285-E285)/E285,"-")</f>
        <v/>
      </c>
      <c r="G386" s="14">
        <f>IFERROR((G285-F285)/F285,"-")</f>
        <v/>
      </c>
      <c r="H386" s="8" t="n"/>
      <c r="I386" s="22">
        <f>IFERROR((I285-G285)/G285,"-")</f>
        <v/>
      </c>
      <c r="J386" s="14">
        <f>IFERROR((J285-I285)/I285,"-")</f>
        <v/>
      </c>
      <c r="K386" s="14">
        <f>IFERROR((K285-J285)/J285,"-")</f>
        <v/>
      </c>
      <c r="L386" s="14">
        <f>IFERROR((L285-K285)/K285,"-")</f>
        <v/>
      </c>
      <c r="M386" s="8" t="n"/>
      <c r="N386" s="22">
        <f>IFERROR((N285-L285)/L285,"-")</f>
        <v/>
      </c>
      <c r="O386" s="14">
        <f>IFERROR((O285-N285)/N285,"-")</f>
        <v/>
      </c>
      <c r="P386" s="14">
        <f>IFERROR((P285-O285)/O285,"-")</f>
        <v/>
      </c>
      <c r="Q386" s="14">
        <f>IFERROR((Q285-P285)/P285,"-")</f>
        <v/>
      </c>
      <c r="R386" s="8" t="n"/>
      <c r="S386" s="22">
        <f>IFERROR((S285-Q285)/Q285,"-")</f>
        <v/>
      </c>
      <c r="T386" s="14">
        <f>IFERROR((T285-S285)/S285,"-")</f>
        <v/>
      </c>
      <c r="U386" s="14">
        <f>IFERROR((U285-T285)/T285,"-")</f>
        <v/>
      </c>
      <c r="V386" s="14">
        <f>IFERROR((V285-U285)/U285,"-")</f>
        <v/>
      </c>
      <c r="W386" s="8" t="n"/>
      <c r="X386" s="22">
        <f>IFERROR((X285-V285)/V285,"-")</f>
        <v/>
      </c>
    </row>
    <row r="387">
      <c r="A387" s="9" t="inlineStr">
        <is>
          <t>ESTC</t>
        </is>
      </c>
      <c r="D387" s="7" t="n"/>
      <c r="E387" s="14">
        <f>IFERROR((E286-D286)/D286,"-")</f>
        <v/>
      </c>
      <c r="F387" s="14">
        <f>IFERROR((F286-E286)/E286,"-")</f>
        <v/>
      </c>
      <c r="G387" s="14">
        <f>IFERROR((G286-F286)/F286,"-")</f>
        <v/>
      </c>
      <c r="H387" s="8" t="n"/>
      <c r="I387" s="22">
        <f>IFERROR((I286-G286)/G286,"-")</f>
        <v/>
      </c>
      <c r="J387" s="14">
        <f>IFERROR((J286-I286)/I286,"-")</f>
        <v/>
      </c>
      <c r="K387" s="14">
        <f>IFERROR((K286-J286)/J286,"-")</f>
        <v/>
      </c>
      <c r="L387" s="14">
        <f>IFERROR((L286-K286)/K286,"-")</f>
        <v/>
      </c>
      <c r="M387" s="8" t="n"/>
      <c r="N387" s="22">
        <f>IFERROR((N286-L286)/L286,"-")</f>
        <v/>
      </c>
      <c r="O387" s="14">
        <f>IFERROR((O286-N286)/N286,"-")</f>
        <v/>
      </c>
      <c r="P387" s="14">
        <f>IFERROR((P286-O286)/O286,"-")</f>
        <v/>
      </c>
      <c r="Q387" s="14">
        <f>IFERROR((Q286-P286)/P286,"-")</f>
        <v/>
      </c>
      <c r="R387" s="8" t="n"/>
      <c r="S387" s="22">
        <f>IFERROR((S286-Q286)/Q286,"-")</f>
        <v/>
      </c>
      <c r="T387" s="14">
        <f>IFERROR((T286-S286)/S286,"-")</f>
        <v/>
      </c>
      <c r="U387" s="14">
        <f>IFERROR((U286-T286)/T286,"-")</f>
        <v/>
      </c>
      <c r="V387" s="14">
        <f>IFERROR((V286-U286)/U286,"-")</f>
        <v/>
      </c>
      <c r="W387" s="8" t="n"/>
      <c r="X387" s="22">
        <f>IFERROR((X286-V286)/V286,"-")</f>
        <v/>
      </c>
    </row>
    <row r="388">
      <c r="A388" s="9" t="inlineStr">
        <is>
          <t>BILL</t>
        </is>
      </c>
      <c r="D388" s="7" t="n"/>
      <c r="E388" s="14">
        <f>IFERROR((E287-D287)/D287,"-")</f>
        <v/>
      </c>
      <c r="F388" s="14">
        <f>IFERROR((F287-E287)/E287,"-")</f>
        <v/>
      </c>
      <c r="G388" s="14">
        <f>IFERROR((G287-F287)/F287,"-")</f>
        <v/>
      </c>
      <c r="H388" s="8" t="n"/>
      <c r="I388" s="22">
        <f>IFERROR((I287-G287)/G287,"-")</f>
        <v/>
      </c>
      <c r="J388" s="14">
        <f>IFERROR((J287-I287)/I287,"-")</f>
        <v/>
      </c>
      <c r="K388" s="14">
        <f>IFERROR((K287-J287)/J287,"-")</f>
        <v/>
      </c>
      <c r="L388" s="14">
        <f>IFERROR((L287-K287)/K287,"-")</f>
        <v/>
      </c>
      <c r="M388" s="8" t="n"/>
      <c r="N388" s="22">
        <f>IFERROR((N287-L287)/L287,"-")</f>
        <v/>
      </c>
      <c r="O388" s="14">
        <f>IFERROR((O287-N287)/N287,"-")</f>
        <v/>
      </c>
      <c r="P388" s="14">
        <f>IFERROR((P287-O287)/O287,"-")</f>
        <v/>
      </c>
      <c r="Q388" s="14">
        <f>IFERROR((Q287-P287)/P287,"-")</f>
        <v/>
      </c>
      <c r="R388" s="8" t="n"/>
      <c r="S388" s="22">
        <f>IFERROR((S287-Q287)/Q287,"-")</f>
        <v/>
      </c>
      <c r="T388" s="14">
        <f>IFERROR((T287-S287)/S287,"-")</f>
        <v/>
      </c>
      <c r="U388" s="14">
        <f>IFERROR((U287-T287)/T287,"-")</f>
        <v/>
      </c>
      <c r="V388" s="14">
        <f>IFERROR((V287-U287)/U287,"-")</f>
        <v/>
      </c>
      <c r="W388" s="8" t="n"/>
      <c r="X388" s="22">
        <f>IFERROR((X287-V287)/V287,"-")</f>
        <v/>
      </c>
    </row>
    <row r="389">
      <c r="A389" s="9" t="inlineStr">
        <is>
          <t>BSY</t>
        </is>
      </c>
      <c r="D389" s="7" t="n"/>
      <c r="E389" s="14">
        <f>IFERROR((E288-D288)/D288,"-")</f>
        <v/>
      </c>
      <c r="F389" s="14">
        <f>IFERROR((F288-E288)/E288,"-")</f>
        <v/>
      </c>
      <c r="G389" s="14">
        <f>IFERROR((G288-F288)/F288,"-")</f>
        <v/>
      </c>
      <c r="H389" s="8" t="n"/>
      <c r="I389" s="22">
        <f>IFERROR((I288-G288)/G288,"-")</f>
        <v/>
      </c>
      <c r="J389" s="14">
        <f>IFERROR((J288-I288)/I288,"-")</f>
        <v/>
      </c>
      <c r="K389" s="14">
        <f>IFERROR((K288-J288)/J288,"-")</f>
        <v/>
      </c>
      <c r="L389" s="14">
        <f>IFERROR((L288-K288)/K288,"-")</f>
        <v/>
      </c>
      <c r="M389" s="8" t="n"/>
      <c r="N389" s="22">
        <f>IFERROR((N288-L288)/L288,"-")</f>
        <v/>
      </c>
      <c r="O389" s="14">
        <f>IFERROR((O288-N288)/N288,"-")</f>
        <v/>
      </c>
      <c r="P389" s="14">
        <f>IFERROR((P288-O288)/O288,"-")</f>
        <v/>
      </c>
      <c r="Q389" s="14">
        <f>IFERROR((Q288-P288)/P288,"-")</f>
        <v/>
      </c>
      <c r="R389" s="8" t="n"/>
      <c r="S389" s="22">
        <f>IFERROR((S288-Q288)/Q288,"-")</f>
        <v/>
      </c>
      <c r="T389" s="14">
        <f>IFERROR((T288-S288)/S288,"-")</f>
        <v/>
      </c>
      <c r="U389" s="14">
        <f>IFERROR((U288-T288)/T288,"-")</f>
        <v/>
      </c>
      <c r="V389" s="14">
        <f>IFERROR((V288-U288)/U288,"-")</f>
        <v/>
      </c>
      <c r="W389" s="8" t="n"/>
      <c r="X389" s="22">
        <f>IFERROR((X288-V288)/V288,"-")</f>
        <v/>
      </c>
    </row>
    <row r="390">
      <c r="A390" s="9" t="inlineStr">
        <is>
          <t>GWRE</t>
        </is>
      </c>
      <c r="D390" s="7" t="n"/>
      <c r="E390" s="14">
        <f>IFERROR((E289-D289)/D289,"-")</f>
        <v/>
      </c>
      <c r="F390" s="14">
        <f>IFERROR((F289-E289)/E289,"-")</f>
        <v/>
      </c>
      <c r="G390" s="14">
        <f>IFERROR((G289-F289)/F289,"-")</f>
        <v/>
      </c>
      <c r="H390" s="8" t="n"/>
      <c r="I390" s="22">
        <f>IFERROR((I289-G289)/G289,"-")</f>
        <v/>
      </c>
      <c r="J390" s="14">
        <f>IFERROR((J289-I289)/I289,"-")</f>
        <v/>
      </c>
      <c r="K390" s="14">
        <f>IFERROR((K289-J289)/J289,"-")</f>
        <v/>
      </c>
      <c r="L390" s="14">
        <f>IFERROR((L289-K289)/K289,"-")</f>
        <v/>
      </c>
      <c r="M390" s="8" t="n"/>
      <c r="N390" s="22">
        <f>IFERROR((N289-L289)/L289,"-")</f>
        <v/>
      </c>
      <c r="O390" s="14">
        <f>IFERROR((O289-N289)/N289,"-")</f>
        <v/>
      </c>
      <c r="P390" s="14">
        <f>IFERROR((P289-O289)/O289,"-")</f>
        <v/>
      </c>
      <c r="Q390" s="14">
        <f>IFERROR((Q289-P289)/P289,"-")</f>
        <v/>
      </c>
      <c r="R390" s="8" t="n"/>
      <c r="S390" s="22">
        <f>IFERROR((S289-Q289)/Q289,"-")</f>
        <v/>
      </c>
      <c r="T390" s="14">
        <f>IFERROR((T289-S289)/S289,"-")</f>
        <v/>
      </c>
      <c r="U390" s="14">
        <f>IFERROR((U289-T289)/T289,"-")</f>
        <v/>
      </c>
      <c r="V390" s="14">
        <f>IFERROR((V289-U289)/U289,"-")</f>
        <v/>
      </c>
      <c r="W390" s="8" t="n"/>
      <c r="X390" s="22">
        <f>IFERROR((X289-V289)/V289,"-")</f>
        <v/>
      </c>
    </row>
    <row r="391">
      <c r="A391" s="9" t="inlineStr">
        <is>
          <t>PCOR</t>
        </is>
      </c>
      <c r="D391" s="7" t="n"/>
      <c r="E391" s="14">
        <f>IFERROR((E290-D290)/D290,"-")</f>
        <v/>
      </c>
      <c r="F391" s="14">
        <f>IFERROR((F290-E290)/E290,"-")</f>
        <v/>
      </c>
      <c r="G391" s="14">
        <f>IFERROR((G290-F290)/F290,"-")</f>
        <v/>
      </c>
      <c r="H391" s="8" t="n"/>
      <c r="I391" s="22">
        <f>IFERROR((I290-G290)/G290,"-")</f>
        <v/>
      </c>
      <c r="J391" s="14">
        <f>IFERROR((J290-I290)/I290,"-")</f>
        <v/>
      </c>
      <c r="K391" s="14">
        <f>IFERROR((K290-J290)/J290,"-")</f>
        <v/>
      </c>
      <c r="L391" s="14">
        <f>IFERROR((L290-K290)/K290,"-")</f>
        <v/>
      </c>
      <c r="M391" s="8" t="n"/>
      <c r="N391" s="22">
        <f>IFERROR((N290-L290)/L290,"-")</f>
        <v/>
      </c>
      <c r="O391" s="14">
        <f>IFERROR((O290-N290)/N290,"-")</f>
        <v/>
      </c>
      <c r="P391" s="14">
        <f>IFERROR((P290-O290)/O290,"-")</f>
        <v/>
      </c>
      <c r="Q391" s="14">
        <f>IFERROR((Q290-P290)/P290,"-")</f>
        <v/>
      </c>
      <c r="R391" s="8" t="n"/>
      <c r="S391" s="22">
        <f>IFERROR((S290-Q290)/Q290,"-")</f>
        <v/>
      </c>
      <c r="T391" s="14">
        <f>IFERROR((T290-S290)/S290,"-")</f>
        <v/>
      </c>
      <c r="U391" s="14">
        <f>IFERROR((U290-T290)/T290,"-")</f>
        <v/>
      </c>
      <c r="V391" s="14">
        <f>IFERROR((V290-U290)/U290,"-")</f>
        <v/>
      </c>
      <c r="W391" s="8" t="n"/>
      <c r="X391" s="22">
        <f>IFERROR((X290-V290)/V290,"-")</f>
        <v/>
      </c>
    </row>
    <row r="392">
      <c r="A392" s="9" t="inlineStr">
        <is>
          <t>ZI</t>
        </is>
      </c>
      <c r="D392" s="7" t="n"/>
      <c r="E392" s="14">
        <f>IFERROR((E291-D291)/D291,"-")</f>
        <v/>
      </c>
      <c r="F392" s="14">
        <f>IFERROR((F291-E291)/E291,"-")</f>
        <v/>
      </c>
      <c r="G392" s="14">
        <f>IFERROR((G291-F291)/F291,"-")</f>
        <v/>
      </c>
      <c r="H392" s="8" t="n"/>
      <c r="I392" s="22">
        <f>IFERROR((I291-G291)/G291,"-")</f>
        <v/>
      </c>
      <c r="J392" s="14">
        <f>IFERROR((J291-I291)/I291,"-")</f>
        <v/>
      </c>
      <c r="K392" s="14">
        <f>IFERROR((K291-J291)/J291,"-")</f>
        <v/>
      </c>
      <c r="L392" s="14">
        <f>IFERROR((L291-K291)/K291,"-")</f>
        <v/>
      </c>
      <c r="M392" s="8" t="n"/>
      <c r="N392" s="22">
        <f>IFERROR((N291-L291)/L291,"-")</f>
        <v/>
      </c>
      <c r="O392" s="14">
        <f>IFERROR((O291-N291)/N291,"-")</f>
        <v/>
      </c>
      <c r="P392" s="14">
        <f>IFERROR((P291-O291)/O291,"-")</f>
        <v/>
      </c>
      <c r="Q392" s="14">
        <f>IFERROR((Q291-P291)/P291,"-")</f>
        <v/>
      </c>
      <c r="R392" s="8" t="n"/>
      <c r="S392" s="22">
        <f>IFERROR((S291-Q291)/Q291,"-")</f>
        <v/>
      </c>
      <c r="T392" s="14">
        <f>IFERROR((T291-S291)/S291,"-")</f>
        <v/>
      </c>
      <c r="U392" s="14">
        <f>IFERROR((U291-T291)/T291,"-")</f>
        <v/>
      </c>
      <c r="V392" s="14">
        <f>IFERROR((V291-U291)/U291,"-")</f>
        <v/>
      </c>
      <c r="W392" s="8" t="n"/>
      <c r="X392" s="22">
        <f>IFERROR((X291-V291)/V291,"-")</f>
        <v/>
      </c>
    </row>
    <row r="393">
      <c r="A393" s="9" t="inlineStr">
        <is>
          <t>KVYO</t>
        </is>
      </c>
      <c r="D393" s="7" t="n"/>
      <c r="E393" s="14">
        <f>IFERROR((E292-D292)/D292,"-")</f>
        <v/>
      </c>
      <c r="F393" s="14">
        <f>IFERROR((F292-E292)/E292,"-")</f>
        <v/>
      </c>
      <c r="G393" s="14">
        <f>IFERROR((G292-F292)/F292,"-")</f>
        <v/>
      </c>
      <c r="H393" s="8" t="n"/>
      <c r="I393" s="22">
        <f>IFERROR((I292-G292)/G292,"-")</f>
        <v/>
      </c>
      <c r="J393" s="14">
        <f>IFERROR((J292-I292)/I292,"-")</f>
        <v/>
      </c>
      <c r="K393" s="14">
        <f>IFERROR((K292-J292)/J292,"-")</f>
        <v/>
      </c>
      <c r="L393" s="14">
        <f>IFERROR((L292-K292)/K292,"-")</f>
        <v/>
      </c>
      <c r="M393" s="8" t="n"/>
      <c r="N393" s="22">
        <f>IFERROR((N292-L292)/L292,"-")</f>
        <v/>
      </c>
      <c r="O393" s="14">
        <f>IFERROR((O292-N292)/N292,"-")</f>
        <v/>
      </c>
      <c r="P393" s="14">
        <f>IFERROR((P292-O292)/O292,"-")</f>
        <v/>
      </c>
      <c r="Q393" s="14">
        <f>IFERROR((Q292-P292)/P292,"-")</f>
        <v/>
      </c>
      <c r="R393" s="8" t="n"/>
      <c r="S393" s="22">
        <f>IFERROR((S292-Q292)/Q292,"-")</f>
        <v/>
      </c>
      <c r="T393" s="14">
        <f>IFERROR((T292-S292)/S292,"-")</f>
        <v/>
      </c>
      <c r="U393" s="14">
        <f>IFERROR((U292-T292)/T292,"-")</f>
        <v/>
      </c>
      <c r="V393" s="14">
        <f>IFERROR((V292-U292)/U292,"-")</f>
        <v/>
      </c>
      <c r="W393" s="8" t="n"/>
      <c r="X393" s="22">
        <f>IFERROR((X292-V292)/V292,"-")</f>
        <v/>
      </c>
    </row>
    <row r="394">
      <c r="A394" s="9" t="inlineStr">
        <is>
          <t>MNDY</t>
        </is>
      </c>
      <c r="D394" s="7" t="n"/>
      <c r="E394" s="14">
        <f>IFERROR((E293-D293)/D293,"-")</f>
        <v/>
      </c>
      <c r="F394" s="14">
        <f>IFERROR((F293-E293)/E293,"-")</f>
        <v/>
      </c>
      <c r="G394" s="14">
        <f>IFERROR((G293-F293)/F293,"-")</f>
        <v/>
      </c>
      <c r="H394" s="8" t="n"/>
      <c r="I394" s="22">
        <f>IFERROR((I293-G293)/G293,"-")</f>
        <v/>
      </c>
      <c r="J394" s="14">
        <f>IFERROR((J293-I293)/I293,"-")</f>
        <v/>
      </c>
      <c r="K394" s="14">
        <f>IFERROR((K293-J293)/J293,"-")</f>
        <v/>
      </c>
      <c r="L394" s="14">
        <f>IFERROR((L293-K293)/K293,"-")</f>
        <v/>
      </c>
      <c r="M394" s="8" t="n"/>
      <c r="N394" s="22">
        <f>IFERROR((N293-L293)/L293,"-")</f>
        <v/>
      </c>
      <c r="O394" s="14">
        <f>IFERROR((O293-N293)/N293,"-")</f>
        <v/>
      </c>
      <c r="P394" s="14">
        <f>IFERROR((P293-O293)/O293,"-")</f>
        <v/>
      </c>
      <c r="Q394" s="14">
        <f>IFERROR((Q293-P293)/P293,"-")</f>
        <v/>
      </c>
      <c r="R394" s="8" t="n"/>
      <c r="S394" s="22">
        <f>IFERROR((S293-Q293)/Q293,"-")</f>
        <v/>
      </c>
      <c r="T394" s="14">
        <f>IFERROR((T293-S293)/S293,"-")</f>
        <v/>
      </c>
      <c r="U394" s="14">
        <f>IFERROR((U293-T293)/T293,"-")</f>
        <v/>
      </c>
      <c r="V394" s="14">
        <f>IFERROR((V293-U293)/U293,"-")</f>
        <v/>
      </c>
      <c r="W394" s="8" t="n"/>
      <c r="X394" s="22">
        <f>IFERROR((X293-V293)/V293,"-")</f>
        <v/>
      </c>
    </row>
    <row r="395">
      <c r="A395" s="9" t="inlineStr">
        <is>
          <t>CFLT</t>
        </is>
      </c>
      <c r="D395" s="7" t="n"/>
      <c r="E395" s="14">
        <f>IFERROR((E294-D294)/D294,"-")</f>
        <v/>
      </c>
      <c r="F395" s="14">
        <f>IFERROR((F294-E294)/E294,"-")</f>
        <v/>
      </c>
      <c r="G395" s="14">
        <f>IFERROR((G294-F294)/F294,"-")</f>
        <v/>
      </c>
      <c r="H395" s="8" t="n"/>
      <c r="I395" s="22">
        <f>IFERROR((I294-G294)/G294,"-")</f>
        <v/>
      </c>
      <c r="J395" s="14">
        <f>IFERROR((J294-I294)/I294,"-")</f>
        <v/>
      </c>
      <c r="K395" s="14">
        <f>IFERROR((K294-J294)/J294,"-")</f>
        <v/>
      </c>
      <c r="L395" s="14">
        <f>IFERROR((L294-K294)/K294,"-")</f>
        <v/>
      </c>
      <c r="M395" s="8" t="n"/>
      <c r="N395" s="22">
        <f>IFERROR((N294-L294)/L294,"-")</f>
        <v/>
      </c>
      <c r="O395" s="14">
        <f>IFERROR((O294-N294)/N294,"-")</f>
        <v/>
      </c>
      <c r="P395" s="14">
        <f>IFERROR((P294-O294)/O294,"-")</f>
        <v/>
      </c>
      <c r="Q395" s="14">
        <f>IFERROR((Q294-P294)/P294,"-")</f>
        <v/>
      </c>
      <c r="R395" s="8" t="n"/>
      <c r="S395" s="22">
        <f>IFERROR((S294-Q294)/Q294,"-")</f>
        <v/>
      </c>
      <c r="T395" s="14">
        <f>IFERROR((T294-S294)/S294,"-")</f>
        <v/>
      </c>
      <c r="U395" s="14">
        <f>IFERROR((U294-T294)/T294,"-")</f>
        <v/>
      </c>
      <c r="V395" s="14">
        <f>IFERROR((V294-U294)/U294,"-")</f>
        <v/>
      </c>
      <c r="W395" s="8" t="n"/>
      <c r="X395" s="22">
        <f>IFERROR((X294-V294)/V294,"-")</f>
        <v/>
      </c>
    </row>
    <row r="396">
      <c r="A396" s="9" t="inlineStr">
        <is>
          <t>AZPN</t>
        </is>
      </c>
      <c r="D396" s="7" t="n"/>
      <c r="E396" s="14">
        <f>IFERROR((E295-D295)/D295,"-")</f>
        <v/>
      </c>
      <c r="F396" s="14">
        <f>IFERROR((F295-E295)/E295,"-")</f>
        <v/>
      </c>
      <c r="G396" s="14">
        <f>IFERROR((G295-F295)/F295,"-")</f>
        <v/>
      </c>
      <c r="H396" s="8" t="n"/>
      <c r="I396" s="22">
        <f>IFERROR((I295-G295)/G295,"-")</f>
        <v/>
      </c>
      <c r="J396" s="14">
        <f>IFERROR((J295-I295)/I295,"-")</f>
        <v/>
      </c>
      <c r="K396" s="14">
        <f>IFERROR((K295-J295)/J295,"-")</f>
        <v/>
      </c>
      <c r="L396" s="14">
        <f>IFERROR((L295-K295)/K295,"-")</f>
        <v/>
      </c>
      <c r="M396" s="8" t="n"/>
      <c r="N396" s="22">
        <f>IFERROR((N295-L295)/L295,"-")</f>
        <v/>
      </c>
      <c r="O396" s="14">
        <f>IFERROR((O295-N295)/N295,"-")</f>
        <v/>
      </c>
      <c r="P396" s="14">
        <f>IFERROR((P295-O295)/O295,"-")</f>
        <v/>
      </c>
      <c r="Q396" s="14">
        <f>IFERROR((Q295-P295)/P295,"-")</f>
        <v/>
      </c>
      <c r="R396" s="8" t="n"/>
      <c r="S396" s="22">
        <f>IFERROR((S295-Q295)/Q295,"-")</f>
        <v/>
      </c>
      <c r="T396" s="14">
        <f>IFERROR((T295-S295)/S295,"-")</f>
        <v/>
      </c>
      <c r="U396" s="14">
        <f>IFERROR((U295-T295)/T295,"-")</f>
        <v/>
      </c>
      <c r="V396" s="14">
        <f>IFERROR((V295-U295)/U295,"-")</f>
        <v/>
      </c>
      <c r="W396" s="8" t="n"/>
      <c r="X396" s="22">
        <f>IFERROR((X295-V295)/V295,"-")</f>
        <v/>
      </c>
    </row>
    <row r="397">
      <c r="A397" s="9" t="inlineStr">
        <is>
          <t>MANH</t>
        </is>
      </c>
      <c r="D397" s="7" t="n"/>
      <c r="E397" s="14">
        <f>IFERROR((E296-D296)/D296,"-")</f>
        <v/>
      </c>
      <c r="F397" s="14">
        <f>IFERROR((F296-E296)/E296,"-")</f>
        <v/>
      </c>
      <c r="G397" s="14">
        <f>IFERROR((G296-F296)/F296,"-")</f>
        <v/>
      </c>
      <c r="H397" s="8" t="n"/>
      <c r="I397" s="22">
        <f>IFERROR((I296-G296)/G296,"-")</f>
        <v/>
      </c>
      <c r="J397" s="14">
        <f>IFERROR((J296-I296)/I296,"-")</f>
        <v/>
      </c>
      <c r="K397" s="14">
        <f>IFERROR((K296-J296)/J296,"-")</f>
        <v/>
      </c>
      <c r="L397" s="14">
        <f>IFERROR((L296-K296)/K296,"-")</f>
        <v/>
      </c>
      <c r="M397" s="8" t="n"/>
      <c r="N397" s="22">
        <f>IFERROR((N296-L296)/L296,"-")</f>
        <v/>
      </c>
      <c r="O397" s="14">
        <f>IFERROR((O296-N296)/N296,"-")</f>
        <v/>
      </c>
      <c r="P397" s="14">
        <f>IFERROR((P296-O296)/O296,"-")</f>
        <v/>
      </c>
      <c r="Q397" s="14">
        <f>IFERROR((Q296-P296)/P296,"-")</f>
        <v/>
      </c>
      <c r="R397" s="8" t="n"/>
      <c r="S397" s="22">
        <f>IFERROR((S296-Q296)/Q296,"-")</f>
        <v/>
      </c>
      <c r="T397" s="14">
        <f>IFERROR((T296-S296)/S296,"-")</f>
        <v/>
      </c>
      <c r="U397" s="14">
        <f>IFERROR((U296-T296)/T296,"-")</f>
        <v/>
      </c>
      <c r="V397" s="14">
        <f>IFERROR((V296-U296)/U296,"-")</f>
        <v/>
      </c>
      <c r="W397" s="8" t="n"/>
      <c r="X397" s="22">
        <f>IFERROR((X296-V296)/V296,"-")</f>
        <v/>
      </c>
    </row>
    <row r="398">
      <c r="A398" s="9" t="inlineStr">
        <is>
          <t>S</t>
        </is>
      </c>
      <c r="D398" s="7" t="n"/>
      <c r="E398" s="14">
        <f>IFERROR((E297-D297)/D297,"-")</f>
        <v/>
      </c>
      <c r="F398" s="14">
        <f>IFERROR((F297-E297)/E297,"-")</f>
        <v/>
      </c>
      <c r="G398" s="14">
        <f>IFERROR((G297-F297)/F297,"-")</f>
        <v/>
      </c>
      <c r="H398" s="8" t="n"/>
      <c r="I398" s="22">
        <f>IFERROR((I297-G297)/G297,"-")</f>
        <v/>
      </c>
      <c r="J398" s="14">
        <f>IFERROR((J297-I297)/I297,"-")</f>
        <v/>
      </c>
      <c r="K398" s="14">
        <f>IFERROR((K297-J297)/J297,"-")</f>
        <v/>
      </c>
      <c r="L398" s="14">
        <f>IFERROR((L297-K297)/K297,"-")</f>
        <v/>
      </c>
      <c r="M398" s="8" t="n"/>
      <c r="N398" s="22">
        <f>IFERROR((N297-L297)/L297,"-")</f>
        <v/>
      </c>
      <c r="O398" s="14">
        <f>IFERROR((O297-N297)/N297,"-")</f>
        <v/>
      </c>
      <c r="P398" s="14">
        <f>IFERROR((P297-O297)/O297,"-")</f>
        <v/>
      </c>
      <c r="Q398" s="14">
        <f>IFERROR((Q297-P297)/P297,"-")</f>
        <v/>
      </c>
      <c r="R398" s="8" t="n"/>
      <c r="S398" s="22">
        <f>IFERROR((S297-Q297)/Q297,"-")</f>
        <v/>
      </c>
      <c r="T398" s="14">
        <f>IFERROR((T297-S297)/S297,"-")</f>
        <v/>
      </c>
      <c r="U398" s="14">
        <f>IFERROR((U297-T297)/T297,"-")</f>
        <v/>
      </c>
      <c r="V398" s="14">
        <f>IFERROR((V297-U297)/U297,"-")</f>
        <v/>
      </c>
      <c r="W398" s="8" t="n"/>
      <c r="X398" s="22">
        <f>IFERROR((X297-V297)/V297,"-")</f>
        <v/>
      </c>
    </row>
    <row r="399">
      <c r="A399" s="9" t="inlineStr">
        <is>
          <t>TENB</t>
        </is>
      </c>
      <c r="D399" s="7" t="n"/>
      <c r="E399" s="14">
        <f>IFERROR((E298-D298)/D298,"-")</f>
        <v/>
      </c>
      <c r="F399" s="14">
        <f>IFERROR((F298-E298)/E298,"-")</f>
        <v/>
      </c>
      <c r="G399" s="14">
        <f>IFERROR((G298-F298)/F298,"-")</f>
        <v/>
      </c>
      <c r="H399" s="8" t="n"/>
      <c r="I399" s="22">
        <f>IFERROR((I298-G298)/G298,"-")</f>
        <v/>
      </c>
      <c r="J399" s="14">
        <f>IFERROR((J298-I298)/I298,"-")</f>
        <v/>
      </c>
      <c r="K399" s="14">
        <f>IFERROR((K298-J298)/J298,"-")</f>
        <v/>
      </c>
      <c r="L399" s="14">
        <f>IFERROR((L298-K298)/K298,"-")</f>
        <v/>
      </c>
      <c r="M399" s="8" t="n"/>
      <c r="N399" s="22">
        <f>IFERROR((N298-L298)/L298,"-")</f>
        <v/>
      </c>
      <c r="O399" s="14">
        <f>IFERROR((O298-N298)/N298,"-")</f>
        <v/>
      </c>
      <c r="P399" s="14">
        <f>IFERROR((P298-O298)/O298,"-")</f>
        <v/>
      </c>
      <c r="Q399" s="14">
        <f>IFERROR((Q298-P298)/P298,"-")</f>
        <v/>
      </c>
      <c r="R399" s="8" t="n"/>
      <c r="S399" s="22">
        <f>IFERROR((S298-Q298)/Q298,"-")</f>
        <v/>
      </c>
      <c r="T399" s="14">
        <f>IFERROR((T298-S298)/S298,"-")</f>
        <v/>
      </c>
      <c r="U399" s="14">
        <f>IFERROR((U298-T298)/T298,"-")</f>
        <v/>
      </c>
      <c r="V399" s="14">
        <f>IFERROR((V298-U298)/U298,"-")</f>
        <v/>
      </c>
      <c r="W399" s="8" t="n"/>
      <c r="X399" s="22">
        <f>IFERROR((X298-V298)/V298,"-")</f>
        <v/>
      </c>
    </row>
    <row r="400">
      <c r="A400" s="9" t="inlineStr">
        <is>
          <t>GTLB</t>
        </is>
      </c>
      <c r="D400" s="7" t="n"/>
      <c r="E400" s="14">
        <f>IFERROR((E299-D299)/D299,"-")</f>
        <v/>
      </c>
      <c r="F400" s="14">
        <f>IFERROR((F299-E299)/E299,"-")</f>
        <v/>
      </c>
      <c r="G400" s="14">
        <f>IFERROR((G299-F299)/F299,"-")</f>
        <v/>
      </c>
      <c r="H400" s="8" t="n"/>
      <c r="I400" s="22">
        <f>IFERROR((I299-G299)/G299,"-")</f>
        <v/>
      </c>
      <c r="J400" s="14">
        <f>IFERROR((J299-I299)/I299,"-")</f>
        <v/>
      </c>
      <c r="K400" s="14">
        <f>IFERROR((K299-J299)/J299,"-")</f>
        <v/>
      </c>
      <c r="L400" s="14">
        <f>IFERROR((L299-K299)/K299,"-")</f>
        <v/>
      </c>
      <c r="M400" s="8" t="n"/>
      <c r="N400" s="22">
        <f>IFERROR((N299-L299)/L299,"-")</f>
        <v/>
      </c>
      <c r="O400" s="14">
        <f>IFERROR((O299-N299)/N299,"-")</f>
        <v/>
      </c>
      <c r="P400" s="14">
        <f>IFERROR((P299-O299)/O299,"-")</f>
        <v/>
      </c>
      <c r="Q400" s="14">
        <f>IFERROR((Q299-P299)/P299,"-")</f>
        <v/>
      </c>
      <c r="R400" s="8" t="n"/>
      <c r="S400" s="22">
        <f>IFERROR((S299-Q299)/Q299,"-")</f>
        <v/>
      </c>
      <c r="T400" s="14">
        <f>IFERROR((T299-S299)/S299,"-")</f>
        <v/>
      </c>
      <c r="U400" s="14">
        <f>IFERROR((U299-T299)/T299,"-")</f>
        <v/>
      </c>
      <c r="V400" s="14">
        <f>IFERROR((V299-U299)/U299,"-")</f>
        <v/>
      </c>
      <c r="W400" s="8" t="n"/>
      <c r="X400" s="22">
        <f>IFERROR((X299-V299)/V299,"-")</f>
        <v/>
      </c>
    </row>
    <row r="401">
      <c r="A401" s="9" t="inlineStr">
        <is>
          <t>DOCN</t>
        </is>
      </c>
      <c r="D401" s="7" t="n"/>
      <c r="E401" s="14">
        <f>IFERROR((E300-D300)/D300,"-")</f>
        <v/>
      </c>
      <c r="F401" s="14">
        <f>IFERROR((F300-E300)/E300,"-")</f>
        <v/>
      </c>
      <c r="G401" s="14">
        <f>IFERROR((G300-F300)/F300,"-")</f>
        <v/>
      </c>
      <c r="H401" s="8" t="n"/>
      <c r="I401" s="22">
        <f>IFERROR((I300-G300)/G300,"-")</f>
        <v/>
      </c>
      <c r="J401" s="14">
        <f>IFERROR((J300-I300)/I300,"-")</f>
        <v/>
      </c>
      <c r="K401" s="14">
        <f>IFERROR((K300-J300)/J300,"-")</f>
        <v/>
      </c>
      <c r="L401" s="14">
        <f>IFERROR((L300-K300)/K300,"-")</f>
        <v/>
      </c>
      <c r="M401" s="8" t="n"/>
      <c r="N401" s="22">
        <f>IFERROR((N300-L300)/L300,"-")</f>
        <v/>
      </c>
      <c r="O401" s="14">
        <f>IFERROR((O300-N300)/N300,"-")</f>
        <v/>
      </c>
      <c r="P401" s="14">
        <f>IFERROR((P300-O300)/O300,"-")</f>
        <v/>
      </c>
      <c r="Q401" s="14">
        <f>IFERROR((Q300-P300)/P300,"-")</f>
        <v/>
      </c>
      <c r="R401" s="8" t="n"/>
      <c r="S401" s="22">
        <f>IFERROR((S300-Q300)/Q300,"-")</f>
        <v/>
      </c>
      <c r="T401" s="14">
        <f>IFERROR((T300-S300)/S300,"-")</f>
        <v/>
      </c>
      <c r="U401" s="14">
        <f>IFERROR((U300-T300)/T300,"-")</f>
        <v/>
      </c>
      <c r="V401" s="14">
        <f>IFERROR((V300-U300)/U300,"-")</f>
        <v/>
      </c>
      <c r="W401" s="8" t="n"/>
      <c r="X401" s="22">
        <f>IFERROR((X300-V300)/V300,"-")</f>
        <v/>
      </c>
    </row>
    <row r="402">
      <c r="A402" s="9" t="inlineStr">
        <is>
          <t>SPSC</t>
        </is>
      </c>
      <c r="D402" s="7" t="n"/>
      <c r="E402" s="14">
        <f>IFERROR((E301-D301)/D301,"-")</f>
        <v/>
      </c>
      <c r="F402" s="14">
        <f>IFERROR((F301-E301)/E301,"-")</f>
        <v/>
      </c>
      <c r="G402" s="14">
        <f>IFERROR((G301-F301)/F301,"-")</f>
        <v/>
      </c>
      <c r="H402" s="8" t="n"/>
      <c r="I402" s="22">
        <f>IFERROR((I301-G301)/G301,"-")</f>
        <v/>
      </c>
      <c r="J402" s="14">
        <f>IFERROR((J301-I301)/I301,"-")</f>
        <v/>
      </c>
      <c r="K402" s="14">
        <f>IFERROR((K301-J301)/J301,"-")</f>
        <v/>
      </c>
      <c r="L402" s="14">
        <f>IFERROR((L301-K301)/K301,"-")</f>
        <v/>
      </c>
      <c r="M402" s="8" t="n"/>
      <c r="N402" s="22">
        <f>IFERROR((N301-L301)/L301,"-")</f>
        <v/>
      </c>
      <c r="O402" s="14">
        <f>IFERROR((O301-N301)/N301,"-")</f>
        <v/>
      </c>
      <c r="P402" s="14">
        <f>IFERROR((P301-O301)/O301,"-")</f>
        <v/>
      </c>
      <c r="Q402" s="14">
        <f>IFERROR((Q301-P301)/P301,"-")</f>
        <v/>
      </c>
      <c r="R402" s="8" t="n"/>
      <c r="S402" s="22">
        <f>IFERROR((S301-Q301)/Q301,"-")</f>
        <v/>
      </c>
      <c r="T402" s="14">
        <f>IFERROR((T301-S301)/S301,"-")</f>
        <v/>
      </c>
      <c r="U402" s="14">
        <f>IFERROR((U301-T301)/T301,"-")</f>
        <v/>
      </c>
      <c r="V402" s="14">
        <f>IFERROR((V301-U301)/U301,"-")</f>
        <v/>
      </c>
      <c r="W402" s="8" t="n"/>
      <c r="X402" s="22">
        <f>IFERROR((X301-V301)/V301,"-")</f>
        <v/>
      </c>
    </row>
    <row r="403">
      <c r="A403" s="9" t="inlineStr">
        <is>
          <t>BRZE</t>
        </is>
      </c>
      <c r="D403" s="7" t="n"/>
      <c r="E403" s="14">
        <f>IFERROR((E302-D302)/D302,"-")</f>
        <v/>
      </c>
      <c r="F403" s="14">
        <f>IFERROR((F302-E302)/E302,"-")</f>
        <v/>
      </c>
      <c r="G403" s="14">
        <f>IFERROR((G302-F302)/F302,"-")</f>
        <v/>
      </c>
      <c r="H403" s="8" t="n"/>
      <c r="I403" s="22">
        <f>IFERROR((I302-G302)/G302,"-")</f>
        <v/>
      </c>
      <c r="J403" s="14">
        <f>IFERROR((J302-I302)/I302,"-")</f>
        <v/>
      </c>
      <c r="K403" s="14">
        <f>IFERROR((K302-J302)/J302,"-")</f>
        <v/>
      </c>
      <c r="L403" s="14">
        <f>IFERROR((L302-K302)/K302,"-")</f>
        <v/>
      </c>
      <c r="M403" s="8" t="n"/>
      <c r="N403" s="22">
        <f>IFERROR((N302-L302)/L302,"-")</f>
        <v/>
      </c>
      <c r="O403" s="14">
        <f>IFERROR((O302-N302)/N302,"-")</f>
        <v/>
      </c>
      <c r="P403" s="14">
        <f>IFERROR((P302-O302)/O302,"-")</f>
        <v/>
      </c>
      <c r="Q403" s="14">
        <f>IFERROR((Q302-P302)/P302,"-")</f>
        <v/>
      </c>
      <c r="R403" s="8" t="n"/>
      <c r="S403" s="22">
        <f>IFERROR((S302-Q302)/Q302,"-")</f>
        <v/>
      </c>
      <c r="T403" s="14">
        <f>IFERROR((T302-S302)/S302,"-")</f>
        <v/>
      </c>
      <c r="U403" s="14">
        <f>IFERROR((U302-T302)/T302,"-")</f>
        <v/>
      </c>
      <c r="V403" s="14">
        <f>IFERROR((V302-U302)/U302,"-")</f>
        <v/>
      </c>
      <c r="W403" s="8" t="n"/>
      <c r="X403" s="22">
        <f>IFERROR((X302-V302)/V302,"-")</f>
        <v/>
      </c>
    </row>
    <row r="404">
      <c r="A404" s="9" t="inlineStr">
        <is>
          <t>CWAN</t>
        </is>
      </c>
      <c r="D404" s="7" t="n"/>
      <c r="E404" s="14">
        <f>IFERROR((E303-D303)/D303,"-")</f>
        <v/>
      </c>
      <c r="F404" s="14">
        <f>IFERROR((F303-E303)/E303,"-")</f>
        <v/>
      </c>
      <c r="G404" s="14">
        <f>IFERROR((G303-F303)/F303,"-")</f>
        <v/>
      </c>
      <c r="H404" s="8" t="n"/>
      <c r="I404" s="22">
        <f>IFERROR((I303-G303)/G303,"-")</f>
        <v/>
      </c>
      <c r="J404" s="14">
        <f>IFERROR((J303-I303)/I303,"-")</f>
        <v/>
      </c>
      <c r="K404" s="14">
        <f>IFERROR((K303-J303)/J303,"-")</f>
        <v/>
      </c>
      <c r="L404" s="14">
        <f>IFERROR((L303-K303)/K303,"-")</f>
        <v/>
      </c>
      <c r="M404" s="8" t="n"/>
      <c r="N404" s="22">
        <f>IFERROR((N303-L303)/L303,"-")</f>
        <v/>
      </c>
      <c r="O404" s="14">
        <f>IFERROR((O303-N303)/N303,"-")</f>
        <v/>
      </c>
      <c r="P404" s="14">
        <f>IFERROR((P303-O303)/O303,"-")</f>
        <v/>
      </c>
      <c r="Q404" s="14">
        <f>IFERROR((Q303-P303)/P303,"-")</f>
        <v/>
      </c>
      <c r="R404" s="8" t="n"/>
      <c r="S404" s="22">
        <f>IFERROR((S303-Q303)/Q303,"-")</f>
        <v/>
      </c>
      <c r="T404" s="14">
        <f>IFERROR((T303-S303)/S303,"-")</f>
        <v/>
      </c>
      <c r="U404" s="14">
        <f>IFERROR((U303-T303)/T303,"-")</f>
        <v/>
      </c>
      <c r="V404" s="14">
        <f>IFERROR((V303-U303)/U303,"-")</f>
        <v/>
      </c>
      <c r="W404" s="8" t="n"/>
      <c r="X404" s="22">
        <f>IFERROR((X303-V303)/V303,"-")</f>
        <v/>
      </c>
    </row>
    <row r="405">
      <c r="A405" s="9" t="inlineStr">
        <is>
          <t>APPN</t>
        </is>
      </c>
      <c r="D405" s="7" t="n"/>
      <c r="E405" s="14">
        <f>IFERROR((E304-D304)/D304,"-")</f>
        <v/>
      </c>
      <c r="F405" s="14">
        <f>IFERROR((F304-E304)/E304,"-")</f>
        <v/>
      </c>
      <c r="G405" s="14">
        <f>IFERROR((G304-F304)/F304,"-")</f>
        <v/>
      </c>
      <c r="H405" s="8" t="n"/>
      <c r="I405" s="22">
        <f>IFERROR((I304-G304)/G304,"-")</f>
        <v/>
      </c>
      <c r="J405" s="14">
        <f>IFERROR((J304-I304)/I304,"-")</f>
        <v/>
      </c>
      <c r="K405" s="14">
        <f>IFERROR((K304-J304)/J304,"-")</f>
        <v/>
      </c>
      <c r="L405" s="14">
        <f>IFERROR((L304-K304)/K304,"-")</f>
        <v/>
      </c>
      <c r="M405" s="8" t="n"/>
      <c r="N405" s="22">
        <f>IFERROR((N304-L304)/L304,"-")</f>
        <v/>
      </c>
      <c r="O405" s="14">
        <f>IFERROR((O304-N304)/N304,"-")</f>
        <v/>
      </c>
      <c r="P405" s="14">
        <f>IFERROR((P304-O304)/O304,"-")</f>
        <v/>
      </c>
      <c r="Q405" s="14">
        <f>IFERROR((Q304-P304)/P304,"-")</f>
        <v/>
      </c>
      <c r="R405" s="8" t="n"/>
      <c r="S405" s="22">
        <f>IFERROR((S304-Q304)/Q304,"-")</f>
        <v/>
      </c>
      <c r="T405" s="14">
        <f>IFERROR((T304-S304)/S304,"-")</f>
        <v/>
      </c>
      <c r="U405" s="14">
        <f>IFERROR((U304-T304)/T304,"-")</f>
        <v/>
      </c>
      <c r="V405" s="14">
        <f>IFERROR((V304-U304)/U304,"-")</f>
        <v/>
      </c>
      <c r="W405" s="8" t="n"/>
      <c r="X405" s="22">
        <f>IFERROR((X304-V304)/V304,"-")</f>
        <v/>
      </c>
    </row>
    <row r="406">
      <c r="A406" s="9" t="inlineStr">
        <is>
          <t>QLYS</t>
        </is>
      </c>
      <c r="D406" s="7" t="n"/>
      <c r="E406" s="14">
        <f>IFERROR((E305-D305)/D305,"-")</f>
        <v/>
      </c>
      <c r="F406" s="14">
        <f>IFERROR((F305-E305)/E305,"-")</f>
        <v/>
      </c>
      <c r="G406" s="14">
        <f>IFERROR((G305-F305)/F305,"-")</f>
        <v/>
      </c>
      <c r="H406" s="8" t="n"/>
      <c r="I406" s="22">
        <f>IFERROR((I305-G305)/G305,"-")</f>
        <v/>
      </c>
      <c r="J406" s="14">
        <f>IFERROR((J305-I305)/I305,"-")</f>
        <v/>
      </c>
      <c r="K406" s="14">
        <f>IFERROR((K305-J305)/J305,"-")</f>
        <v/>
      </c>
      <c r="L406" s="14">
        <f>IFERROR((L305-K305)/K305,"-")</f>
        <v/>
      </c>
      <c r="M406" s="8" t="n"/>
      <c r="N406" s="22">
        <f>IFERROR((N305-L305)/L305,"-")</f>
        <v/>
      </c>
      <c r="O406" s="14">
        <f>IFERROR((O305-N305)/N305,"-")</f>
        <v/>
      </c>
      <c r="P406" s="14">
        <f>IFERROR((P305-O305)/O305,"-")</f>
        <v/>
      </c>
      <c r="Q406" s="14">
        <f>IFERROR((Q305-P305)/P305,"-")</f>
        <v/>
      </c>
      <c r="R406" s="8" t="n"/>
      <c r="S406" s="22">
        <f>IFERROR((S305-Q305)/Q305,"-")</f>
        <v/>
      </c>
      <c r="T406" s="14">
        <f>IFERROR((T305-S305)/S305,"-")</f>
        <v/>
      </c>
      <c r="U406" s="14">
        <f>IFERROR((U305-T305)/T305,"-")</f>
        <v/>
      </c>
      <c r="V406" s="14">
        <f>IFERROR((V305-U305)/U305,"-")</f>
        <v/>
      </c>
      <c r="W406" s="8" t="n"/>
      <c r="X406" s="22">
        <f>IFERROR((X305-V305)/V305,"-")</f>
        <v/>
      </c>
    </row>
    <row r="407">
      <c r="A407" s="9" t="inlineStr">
        <is>
          <t>NCNO</t>
        </is>
      </c>
      <c r="D407" s="7" t="n"/>
      <c r="E407" s="14">
        <f>IFERROR((E306-D306)/D306,"-")</f>
        <v/>
      </c>
      <c r="F407" s="14">
        <f>IFERROR((F306-E306)/E306,"-")</f>
        <v/>
      </c>
      <c r="G407" s="14">
        <f>IFERROR((G306-F306)/F306,"-")</f>
        <v/>
      </c>
      <c r="H407" s="8" t="n"/>
      <c r="I407" s="22">
        <f>IFERROR((I306-G306)/G306,"-")</f>
        <v/>
      </c>
      <c r="J407" s="14">
        <f>IFERROR((J306-I306)/I306,"-")</f>
        <v/>
      </c>
      <c r="K407" s="14">
        <f>IFERROR((K306-J306)/J306,"-")</f>
        <v/>
      </c>
      <c r="L407" s="14">
        <f>IFERROR((L306-K306)/K306,"-")</f>
        <v/>
      </c>
      <c r="M407" s="8" t="n"/>
      <c r="N407" s="22">
        <f>IFERROR((N306-L306)/L306,"-")</f>
        <v/>
      </c>
      <c r="O407" s="14">
        <f>IFERROR((O306-N306)/N306,"-")</f>
        <v/>
      </c>
      <c r="P407" s="14">
        <f>IFERROR((P306-O306)/O306,"-")</f>
        <v/>
      </c>
      <c r="Q407" s="14">
        <f>IFERROR((Q306-P306)/P306,"-")</f>
        <v/>
      </c>
      <c r="R407" s="8" t="n"/>
      <c r="S407" s="22">
        <f>IFERROR((S306-Q306)/Q306,"-")</f>
        <v/>
      </c>
      <c r="T407" s="14">
        <f>IFERROR((T306-S306)/S306,"-")</f>
        <v/>
      </c>
      <c r="U407" s="14">
        <f>IFERROR((U306-T306)/T306,"-")</f>
        <v/>
      </c>
      <c r="V407" s="14">
        <f>IFERROR((V306-U306)/U306,"-")</f>
        <v/>
      </c>
      <c r="W407" s="8" t="n"/>
      <c r="X407" s="22">
        <f>IFERROR((X306-V306)/V306,"-")</f>
        <v/>
      </c>
    </row>
    <row r="408">
      <c r="A408" s="9" t="inlineStr">
        <is>
          <t>FROG</t>
        </is>
      </c>
      <c r="D408" s="7" t="n"/>
      <c r="E408" s="14">
        <f>IFERROR((E307-D307)/D307,"-")</f>
        <v/>
      </c>
      <c r="F408" s="14">
        <f>IFERROR((F307-E307)/E307,"-")</f>
        <v/>
      </c>
      <c r="G408" s="14">
        <f>IFERROR((G307-F307)/F307,"-")</f>
        <v/>
      </c>
      <c r="H408" s="8" t="n"/>
      <c r="I408" s="22">
        <f>IFERROR((I307-G307)/G307,"-")</f>
        <v/>
      </c>
      <c r="J408" s="14">
        <f>IFERROR((J307-I307)/I307,"-")</f>
        <v/>
      </c>
      <c r="K408" s="14">
        <f>IFERROR((K307-J307)/J307,"-")</f>
        <v/>
      </c>
      <c r="L408" s="14">
        <f>IFERROR((L307-K307)/K307,"-")</f>
        <v/>
      </c>
      <c r="M408" s="8" t="n"/>
      <c r="N408" s="22">
        <f>IFERROR((N307-L307)/L307,"-")</f>
        <v/>
      </c>
      <c r="O408" s="14">
        <f>IFERROR((O307-N307)/N307,"-")</f>
        <v/>
      </c>
      <c r="P408" s="14">
        <f>IFERROR((P307-O307)/O307,"-")</f>
        <v/>
      </c>
      <c r="Q408" s="14">
        <f>IFERROR((Q307-P307)/P307,"-")</f>
        <v/>
      </c>
      <c r="R408" s="8" t="n"/>
      <c r="S408" s="22">
        <f>IFERROR((S307-Q307)/Q307,"-")</f>
        <v/>
      </c>
      <c r="T408" s="14">
        <f>IFERROR((T307-S307)/S307,"-")</f>
        <v/>
      </c>
      <c r="U408" s="14">
        <f>IFERROR((U307-T307)/T307,"-")</f>
        <v/>
      </c>
      <c r="V408" s="14">
        <f>IFERROR((V307-U307)/U307,"-")</f>
        <v/>
      </c>
      <c r="W408" s="8" t="n"/>
      <c r="X408" s="22">
        <f>IFERROR((X307-V307)/V307,"-")</f>
        <v/>
      </c>
    </row>
    <row r="409">
      <c r="D409" s="7" t="n"/>
      <c r="H409" s="8" t="n"/>
      <c r="I409" s="7" t="n"/>
      <c r="M409" s="8" t="n"/>
      <c r="N409" s="7" t="n"/>
      <c r="R409" s="8" t="n"/>
      <c r="S409" s="7" t="n"/>
      <c r="W409" s="8" t="n"/>
      <c r="X409" s="7" t="n"/>
    </row>
    <row r="410">
      <c r="A410" s="3" t="inlineStr">
        <is>
          <t>$ YoY</t>
        </is>
      </c>
      <c r="D410" s="7" t="n"/>
      <c r="H410" s="8" t="n"/>
      <c r="I410" s="7" t="n"/>
      <c r="M410" s="8" t="n"/>
      <c r="N410" s="7" t="n"/>
      <c r="R410" s="8" t="n"/>
      <c r="S410" s="7" t="n"/>
      <c r="W410" s="8" t="n"/>
      <c r="X410" s="7" t="n"/>
    </row>
    <row r="411">
      <c r="A411" s="9" t="inlineStr">
        <is>
          <t>ADBE</t>
        </is>
      </c>
      <c r="D411" s="7" t="n"/>
      <c r="H411" s="8" t="n"/>
      <c r="I411" s="29">
        <f>I260-D260</f>
        <v/>
      </c>
      <c r="J411" s="30">
        <f>J260-E260</f>
        <v/>
      </c>
      <c r="K411" s="30">
        <f>K260-F260</f>
        <v/>
      </c>
      <c r="L411" s="30">
        <f>L260-G260</f>
        <v/>
      </c>
      <c r="M411" s="8" t="n"/>
      <c r="N411" s="29">
        <f>N260-I260</f>
        <v/>
      </c>
      <c r="O411" s="30">
        <f>O260-J260</f>
        <v/>
      </c>
      <c r="P411" s="30">
        <f>P260-K260</f>
        <v/>
      </c>
      <c r="Q411" s="30">
        <f>Q260-L260</f>
        <v/>
      </c>
      <c r="R411" s="8" t="n"/>
      <c r="S411" s="29">
        <f>S260-N260</f>
        <v/>
      </c>
      <c r="T411" s="30">
        <f>T260-O260</f>
        <v/>
      </c>
      <c r="U411" s="30">
        <f>U260-P260</f>
        <v/>
      </c>
      <c r="V411" s="30">
        <f>V260-Q260</f>
        <v/>
      </c>
      <c r="W411" s="8" t="n"/>
      <c r="X411" s="29">
        <f>X260-S260</f>
        <v/>
      </c>
    </row>
    <row r="412">
      <c r="A412" s="9" t="inlineStr">
        <is>
          <t>INTU</t>
        </is>
      </c>
      <c r="D412" s="7" t="n"/>
      <c r="H412" s="8" t="n"/>
      <c r="I412" s="29">
        <f>I261-D261</f>
        <v/>
      </c>
      <c r="J412" s="30">
        <f>J261-E261</f>
        <v/>
      </c>
      <c r="K412" s="30">
        <f>K261-F261</f>
        <v/>
      </c>
      <c r="L412" s="30">
        <f>L261-G261</f>
        <v/>
      </c>
      <c r="M412" s="8" t="n"/>
      <c r="N412" s="29">
        <f>N261-I261</f>
        <v/>
      </c>
      <c r="O412" s="30">
        <f>O261-J261</f>
        <v/>
      </c>
      <c r="P412" s="30">
        <f>P261-K261</f>
        <v/>
      </c>
      <c r="Q412" s="30">
        <f>Q261-L261</f>
        <v/>
      </c>
      <c r="R412" s="8" t="n"/>
      <c r="S412" s="29">
        <f>S261-N261</f>
        <v/>
      </c>
      <c r="T412" s="30">
        <f>T261-O261</f>
        <v/>
      </c>
      <c r="U412" s="30">
        <f>U261-P261</f>
        <v/>
      </c>
      <c r="V412" s="30">
        <f>V261-Q261</f>
        <v/>
      </c>
      <c r="W412" s="8" t="n"/>
      <c r="X412" s="29">
        <f>X261-S261</f>
        <v/>
      </c>
    </row>
    <row r="413">
      <c r="A413" s="9" t="inlineStr">
        <is>
          <t>NOW</t>
        </is>
      </c>
      <c r="D413" s="7" t="n"/>
      <c r="H413" s="8" t="n"/>
      <c r="I413" s="29">
        <f>I262-D262</f>
        <v/>
      </c>
      <c r="J413" s="30">
        <f>J262-E262</f>
        <v/>
      </c>
      <c r="K413" s="30">
        <f>K262-F262</f>
        <v/>
      </c>
      <c r="L413" s="30">
        <f>L262-G262</f>
        <v/>
      </c>
      <c r="M413" s="8" t="n"/>
      <c r="N413" s="29">
        <f>N262-I262</f>
        <v/>
      </c>
      <c r="O413" s="30">
        <f>O262-J262</f>
        <v/>
      </c>
      <c r="P413" s="30">
        <f>P262-K262</f>
        <v/>
      </c>
      <c r="Q413" s="30">
        <f>Q262-L262</f>
        <v/>
      </c>
      <c r="R413" s="8" t="n"/>
      <c r="S413" s="29">
        <f>S262-N262</f>
        <v/>
      </c>
      <c r="T413" s="30">
        <f>T262-O262</f>
        <v/>
      </c>
      <c r="U413" s="30">
        <f>U262-P262</f>
        <v/>
      </c>
      <c r="V413" s="30">
        <f>V262-Q262</f>
        <v/>
      </c>
      <c r="W413" s="8" t="n"/>
      <c r="X413" s="29">
        <f>X262-S262</f>
        <v/>
      </c>
    </row>
    <row r="414">
      <c r="A414" s="9" t="inlineStr">
        <is>
          <t>PANW</t>
        </is>
      </c>
      <c r="D414" s="7" t="n"/>
      <c r="H414" s="8" t="n"/>
      <c r="I414" s="29">
        <f>I263-D263</f>
        <v/>
      </c>
      <c r="J414" s="30">
        <f>J263-E263</f>
        <v/>
      </c>
      <c r="K414" s="30">
        <f>K263-F263</f>
        <v/>
      </c>
      <c r="L414" s="30">
        <f>L263-G263</f>
        <v/>
      </c>
      <c r="M414" s="8" t="n"/>
      <c r="N414" s="29">
        <f>N263-I263</f>
        <v/>
      </c>
      <c r="O414" s="30">
        <f>O263-J263</f>
        <v/>
      </c>
      <c r="P414" s="30">
        <f>P263-K263</f>
        <v/>
      </c>
      <c r="Q414" s="30">
        <f>Q263-L263</f>
        <v/>
      </c>
      <c r="R414" s="8" t="n"/>
      <c r="S414" s="29">
        <f>S263-N263</f>
        <v/>
      </c>
      <c r="T414" s="30">
        <f>T263-O263</f>
        <v/>
      </c>
      <c r="U414" s="30">
        <f>U263-P263</f>
        <v/>
      </c>
      <c r="V414" s="30">
        <f>V263-Q263</f>
        <v/>
      </c>
      <c r="W414" s="8" t="n"/>
      <c r="X414" s="29">
        <f>X263-S263</f>
        <v/>
      </c>
    </row>
    <row r="415">
      <c r="A415" s="9" t="inlineStr">
        <is>
          <t>WDAY</t>
        </is>
      </c>
      <c r="D415" s="7" t="n"/>
      <c r="H415" s="8" t="n"/>
      <c r="I415" s="29">
        <f>I264-D264</f>
        <v/>
      </c>
      <c r="J415" s="30">
        <f>J264-E264</f>
        <v/>
      </c>
      <c r="K415" s="30">
        <f>K264-F264</f>
        <v/>
      </c>
      <c r="L415" s="30">
        <f>L264-G264</f>
        <v/>
      </c>
      <c r="M415" s="8" t="n"/>
      <c r="N415" s="29">
        <f>N264-I264</f>
        <v/>
      </c>
      <c r="O415" s="30">
        <f>O264-J264</f>
        <v/>
      </c>
      <c r="P415" s="30">
        <f>P264-K264</f>
        <v/>
      </c>
      <c r="Q415" s="30">
        <f>Q264-L264</f>
        <v/>
      </c>
      <c r="R415" s="8" t="n"/>
      <c r="S415" s="29">
        <f>S264-N264</f>
        <v/>
      </c>
      <c r="T415" s="30">
        <f>T264-O264</f>
        <v/>
      </c>
      <c r="U415" s="30">
        <f>U264-P264</f>
        <v/>
      </c>
      <c r="V415" s="30">
        <f>V264-Q264</f>
        <v/>
      </c>
      <c r="W415" s="8" t="n"/>
      <c r="X415" s="29">
        <f>X264-S264</f>
        <v/>
      </c>
    </row>
    <row r="416">
      <c r="A416" s="9" t="inlineStr">
        <is>
          <t>SNPS</t>
        </is>
      </c>
      <c r="D416" s="7" t="n"/>
      <c r="H416" s="8" t="n"/>
      <c r="I416" s="29">
        <f>I265-D265</f>
        <v/>
      </c>
      <c r="J416" s="30">
        <f>J265-E265</f>
        <v/>
      </c>
      <c r="K416" s="30">
        <f>K265-F265</f>
        <v/>
      </c>
      <c r="L416" s="30">
        <f>L265-G265</f>
        <v/>
      </c>
      <c r="M416" s="8" t="n"/>
      <c r="N416" s="29">
        <f>N265-I265</f>
        <v/>
      </c>
      <c r="O416" s="30">
        <f>O265-J265</f>
        <v/>
      </c>
      <c r="P416" s="30">
        <f>P265-K265</f>
        <v/>
      </c>
      <c r="Q416" s="30">
        <f>Q265-L265</f>
        <v/>
      </c>
      <c r="R416" s="8" t="n"/>
      <c r="S416" s="29">
        <f>S265-N265</f>
        <v/>
      </c>
      <c r="T416" s="30">
        <f>T265-O265</f>
        <v/>
      </c>
      <c r="U416" s="30">
        <f>U265-P265</f>
        <v/>
      </c>
      <c r="V416" s="30">
        <f>V265-Q265</f>
        <v/>
      </c>
      <c r="W416" s="8" t="n"/>
      <c r="X416" s="29">
        <f>X265-S265</f>
        <v/>
      </c>
    </row>
    <row r="417">
      <c r="A417" s="9" t="inlineStr">
        <is>
          <t>ROP</t>
        </is>
      </c>
      <c r="D417" s="7" t="n"/>
      <c r="H417" s="8" t="n"/>
      <c r="I417" s="29">
        <f>I266-D266</f>
        <v/>
      </c>
      <c r="J417" s="30">
        <f>J266-E266</f>
        <v/>
      </c>
      <c r="K417" s="30">
        <f>K266-F266</f>
        <v/>
      </c>
      <c r="L417" s="30">
        <f>L266-G266</f>
        <v/>
      </c>
      <c r="M417" s="8" t="n"/>
      <c r="N417" s="29">
        <f>N266-I266</f>
        <v/>
      </c>
      <c r="O417" s="30">
        <f>O266-J266</f>
        <v/>
      </c>
      <c r="P417" s="30">
        <f>P266-K266</f>
        <v/>
      </c>
      <c r="Q417" s="30">
        <f>Q266-L266</f>
        <v/>
      </c>
      <c r="R417" s="8" t="n"/>
      <c r="S417" s="29">
        <f>S266-N266</f>
        <v/>
      </c>
      <c r="T417" s="30">
        <f>T266-O266</f>
        <v/>
      </c>
      <c r="U417" s="30">
        <f>U266-P266</f>
        <v/>
      </c>
      <c r="V417" s="30">
        <f>V266-Q266</f>
        <v/>
      </c>
      <c r="W417" s="8" t="n"/>
      <c r="X417" s="29">
        <f>X266-S266</f>
        <v/>
      </c>
    </row>
    <row r="418">
      <c r="A418" s="9" t="inlineStr">
        <is>
          <t>ADSK</t>
        </is>
      </c>
      <c r="D418" s="7" t="n"/>
      <c r="H418" s="8" t="n"/>
      <c r="I418" s="29">
        <f>I267-D267</f>
        <v/>
      </c>
      <c r="J418" s="30">
        <f>J267-E267</f>
        <v/>
      </c>
      <c r="K418" s="30">
        <f>K267-F267</f>
        <v/>
      </c>
      <c r="L418" s="30">
        <f>L267-G267</f>
        <v/>
      </c>
      <c r="M418" s="8" t="n"/>
      <c r="N418" s="29">
        <f>N267-I267</f>
        <v/>
      </c>
      <c r="O418" s="30">
        <f>O267-J267</f>
        <v/>
      </c>
      <c r="P418" s="30">
        <f>P267-K267</f>
        <v/>
      </c>
      <c r="Q418" s="30">
        <f>Q267-L267</f>
        <v/>
      </c>
      <c r="R418" s="8" t="n"/>
      <c r="S418" s="29">
        <f>S267-N267</f>
        <v/>
      </c>
      <c r="T418" s="30">
        <f>T267-O267</f>
        <v/>
      </c>
      <c r="U418" s="30">
        <f>U267-P267</f>
        <v/>
      </c>
      <c r="V418" s="30">
        <f>V267-Q267</f>
        <v/>
      </c>
      <c r="W418" s="8" t="n"/>
      <c r="X418" s="29">
        <f>X267-S267</f>
        <v/>
      </c>
    </row>
    <row r="419">
      <c r="A419" s="9" t="inlineStr">
        <is>
          <t>FTNT</t>
        </is>
      </c>
      <c r="D419" s="7" t="n"/>
      <c r="H419" s="8" t="n"/>
      <c r="I419" s="29">
        <f>I268-D268</f>
        <v/>
      </c>
      <c r="J419" s="30">
        <f>J268-E268</f>
        <v/>
      </c>
      <c r="K419" s="30">
        <f>K268-F268</f>
        <v/>
      </c>
      <c r="L419" s="30">
        <f>L268-G268</f>
        <v/>
      </c>
      <c r="M419" s="8" t="n"/>
      <c r="N419" s="29">
        <f>N268-I268</f>
        <v/>
      </c>
      <c r="O419" s="30">
        <f>O268-J268</f>
        <v/>
      </c>
      <c r="P419" s="30">
        <f>P268-K268</f>
        <v/>
      </c>
      <c r="Q419" s="30">
        <f>Q268-L268</f>
        <v/>
      </c>
      <c r="R419" s="8" t="n"/>
      <c r="S419" s="29">
        <f>S268-N268</f>
        <v/>
      </c>
      <c r="T419" s="30">
        <f>T268-O268</f>
        <v/>
      </c>
      <c r="U419" s="30">
        <f>U268-P268</f>
        <v/>
      </c>
      <c r="V419" s="30">
        <f>V268-Q268</f>
        <v/>
      </c>
      <c r="W419" s="8" t="n"/>
      <c r="X419" s="29">
        <f>X268-S268</f>
        <v/>
      </c>
    </row>
    <row r="420">
      <c r="A420" s="9" t="inlineStr">
        <is>
          <t>TOST</t>
        </is>
      </c>
      <c r="D420" s="7" t="n"/>
      <c r="H420" s="8" t="n"/>
      <c r="I420" s="29">
        <f>I269-D269</f>
        <v/>
      </c>
      <c r="J420" s="30">
        <f>J269-E269</f>
        <v/>
      </c>
      <c r="K420" s="30">
        <f>K269-F269</f>
        <v/>
      </c>
      <c r="L420" s="30">
        <f>L269-G269</f>
        <v/>
      </c>
      <c r="M420" s="8" t="n"/>
      <c r="N420" s="29">
        <f>N269-I269</f>
        <v/>
      </c>
      <c r="O420" s="30">
        <f>O269-J269</f>
        <v/>
      </c>
      <c r="P420" s="30">
        <f>P269-K269</f>
        <v/>
      </c>
      <c r="Q420" s="30">
        <f>Q269-L269</f>
        <v/>
      </c>
      <c r="R420" s="8" t="n"/>
      <c r="S420" s="29">
        <f>S269-N269</f>
        <v/>
      </c>
      <c r="T420" s="30">
        <f>T269-O269</f>
        <v/>
      </c>
      <c r="U420" s="30">
        <f>U269-P269</f>
        <v/>
      </c>
      <c r="V420" s="30">
        <f>V269-Q269</f>
        <v/>
      </c>
      <c r="W420" s="8" t="n"/>
      <c r="X420" s="29">
        <f>X269-S269</f>
        <v/>
      </c>
    </row>
    <row r="421">
      <c r="A421" s="9" t="inlineStr">
        <is>
          <t>TEAM</t>
        </is>
      </c>
      <c r="D421" s="7" t="n"/>
      <c r="H421" s="8" t="n"/>
      <c r="I421" s="29">
        <f>I270-D270</f>
        <v/>
      </c>
      <c r="J421" s="30">
        <f>J270-E270</f>
        <v/>
      </c>
      <c r="K421" s="30">
        <f>K270-F270</f>
        <v/>
      </c>
      <c r="L421" s="30">
        <f>L270-G270</f>
        <v/>
      </c>
      <c r="M421" s="8" t="n"/>
      <c r="N421" s="29">
        <f>N270-I270</f>
        <v/>
      </c>
      <c r="O421" s="30">
        <f>O270-J270</f>
        <v/>
      </c>
      <c r="P421" s="30">
        <f>P270-K270</f>
        <v/>
      </c>
      <c r="Q421" s="30">
        <f>Q270-L270</f>
        <v/>
      </c>
      <c r="R421" s="8" t="n"/>
      <c r="S421" s="29">
        <f>S270-N270</f>
        <v/>
      </c>
      <c r="T421" s="30">
        <f>T270-O270</f>
        <v/>
      </c>
      <c r="U421" s="30">
        <f>U270-P270</f>
        <v/>
      </c>
      <c r="V421" s="30">
        <f>V270-Q270</f>
        <v/>
      </c>
      <c r="W421" s="8" t="n"/>
      <c r="X421" s="29">
        <f>X270-S270</f>
        <v/>
      </c>
    </row>
    <row r="422">
      <c r="A422" s="9" t="inlineStr">
        <is>
          <t>APP</t>
        </is>
      </c>
      <c r="D422" s="7" t="n"/>
      <c r="H422" s="8" t="n"/>
      <c r="I422" s="29">
        <f>I271-D271</f>
        <v/>
      </c>
      <c r="J422" s="30">
        <f>J271-E271</f>
        <v/>
      </c>
      <c r="K422" s="30">
        <f>K271-F271</f>
        <v/>
      </c>
      <c r="L422" s="30">
        <f>L271-G271</f>
        <v/>
      </c>
      <c r="M422" s="8" t="n"/>
      <c r="N422" s="29">
        <f>N271-I271</f>
        <v/>
      </c>
      <c r="O422" s="30">
        <f>O271-J271</f>
        <v/>
      </c>
      <c r="P422" s="30">
        <f>P271-K271</f>
        <v/>
      </c>
      <c r="Q422" s="30">
        <f>Q271-L271</f>
        <v/>
      </c>
      <c r="R422" s="8" t="n"/>
      <c r="S422" s="29">
        <f>S271-N271</f>
        <v/>
      </c>
      <c r="T422" s="30">
        <f>T271-O271</f>
        <v/>
      </c>
      <c r="U422" s="30">
        <f>U271-P271</f>
        <v/>
      </c>
      <c r="V422" s="30">
        <f>V271-Q271</f>
        <v/>
      </c>
      <c r="W422" s="8" t="n"/>
      <c r="X422" s="29">
        <f>X271-S271</f>
        <v/>
      </c>
    </row>
    <row r="423">
      <c r="A423" s="9" t="inlineStr">
        <is>
          <t>CDNS</t>
        </is>
      </c>
      <c r="D423" s="7" t="n"/>
      <c r="H423" s="8" t="n"/>
      <c r="I423" s="29">
        <f>I272-D272</f>
        <v/>
      </c>
      <c r="J423" s="30">
        <f>J272-E272</f>
        <v/>
      </c>
      <c r="K423" s="30">
        <f>K272-F272</f>
        <v/>
      </c>
      <c r="L423" s="30">
        <f>L272-G272</f>
        <v/>
      </c>
      <c r="M423" s="8" t="n"/>
      <c r="N423" s="29">
        <f>N272-I272</f>
        <v/>
      </c>
      <c r="O423" s="30">
        <f>O272-J272</f>
        <v/>
      </c>
      <c r="P423" s="30">
        <f>P272-K272</f>
        <v/>
      </c>
      <c r="Q423" s="30">
        <f>Q272-L272</f>
        <v/>
      </c>
      <c r="R423" s="8" t="n"/>
      <c r="S423" s="29">
        <f>S272-N272</f>
        <v/>
      </c>
      <c r="T423" s="30">
        <f>T272-O272</f>
        <v/>
      </c>
      <c r="U423" s="30">
        <f>U272-P272</f>
        <v/>
      </c>
      <c r="V423" s="30">
        <f>V272-Q272</f>
        <v/>
      </c>
      <c r="W423" s="8" t="n"/>
      <c r="X423" s="29">
        <f>X272-S272</f>
        <v/>
      </c>
    </row>
    <row r="424">
      <c r="A424" s="9" t="inlineStr">
        <is>
          <t>CRWD</t>
        </is>
      </c>
      <c r="D424" s="7" t="n"/>
      <c r="H424" s="8" t="n"/>
      <c r="I424" s="29">
        <f>I273-D273</f>
        <v/>
      </c>
      <c r="J424" s="30">
        <f>J273-E273</f>
        <v/>
      </c>
      <c r="K424" s="30">
        <f>K273-F273</f>
        <v/>
      </c>
      <c r="L424" s="30">
        <f>L273-G273</f>
        <v/>
      </c>
      <c r="M424" s="8" t="n"/>
      <c r="N424" s="29">
        <f>N273-I273</f>
        <v/>
      </c>
      <c r="O424" s="30">
        <f>O273-J273</f>
        <v/>
      </c>
      <c r="P424" s="30">
        <f>P273-K273</f>
        <v/>
      </c>
      <c r="Q424" s="30">
        <f>Q273-L273</f>
        <v/>
      </c>
      <c r="R424" s="8" t="n"/>
      <c r="S424" s="29">
        <f>S273-N273</f>
        <v/>
      </c>
      <c r="T424" s="30">
        <f>T273-O273</f>
        <v/>
      </c>
      <c r="U424" s="30">
        <f>U273-P273</f>
        <v/>
      </c>
      <c r="V424" s="30">
        <f>V273-Q273</f>
        <v/>
      </c>
      <c r="W424" s="8" t="n"/>
      <c r="X424" s="29">
        <f>X273-S273</f>
        <v/>
      </c>
    </row>
    <row r="425">
      <c r="A425" s="9" t="inlineStr">
        <is>
          <t>SNOW</t>
        </is>
      </c>
      <c r="D425" s="7" t="n"/>
      <c r="H425" s="8" t="n"/>
      <c r="I425" s="29">
        <f>I274-D274</f>
        <v/>
      </c>
      <c r="J425" s="30">
        <f>J274-E274</f>
        <v/>
      </c>
      <c r="K425" s="30">
        <f>K274-F274</f>
        <v/>
      </c>
      <c r="L425" s="30">
        <f>L274-G274</f>
        <v/>
      </c>
      <c r="M425" s="8" t="n"/>
      <c r="N425" s="29">
        <f>N274-I274</f>
        <v/>
      </c>
      <c r="O425" s="30">
        <f>O274-J274</f>
        <v/>
      </c>
      <c r="P425" s="30">
        <f>P274-K274</f>
        <v/>
      </c>
      <c r="Q425" s="30">
        <f>Q274-L274</f>
        <v/>
      </c>
      <c r="R425" s="8" t="n"/>
      <c r="S425" s="29">
        <f>S274-N274</f>
        <v/>
      </c>
      <c r="T425" s="30">
        <f>T274-O274</f>
        <v/>
      </c>
      <c r="U425" s="30">
        <f>U274-P274</f>
        <v/>
      </c>
      <c r="V425" s="30">
        <f>V274-Q274</f>
        <v/>
      </c>
      <c r="W425" s="8" t="n"/>
      <c r="X425" s="29">
        <f>X274-S274</f>
        <v/>
      </c>
    </row>
    <row r="426">
      <c r="A426" s="9" t="inlineStr">
        <is>
          <t>PLTR</t>
        </is>
      </c>
      <c r="D426" s="7" t="n"/>
      <c r="H426" s="8" t="n"/>
      <c r="I426" s="29">
        <f>I275-D275</f>
        <v/>
      </c>
      <c r="J426" s="30">
        <f>J275-E275</f>
        <v/>
      </c>
      <c r="K426" s="30">
        <f>K275-F275</f>
        <v/>
      </c>
      <c r="L426" s="30">
        <f>L275-G275</f>
        <v/>
      </c>
      <c r="M426" s="8" t="n"/>
      <c r="N426" s="29">
        <f>N275-I275</f>
        <v/>
      </c>
      <c r="O426" s="30">
        <f>O275-J275</f>
        <v/>
      </c>
      <c r="P426" s="30">
        <f>P275-K275</f>
        <v/>
      </c>
      <c r="Q426" s="30">
        <f>Q275-L275</f>
        <v/>
      </c>
      <c r="R426" s="8" t="n"/>
      <c r="S426" s="29">
        <f>S275-N275</f>
        <v/>
      </c>
      <c r="T426" s="30">
        <f>T275-O275</f>
        <v/>
      </c>
      <c r="U426" s="30">
        <f>U275-P275</f>
        <v/>
      </c>
      <c r="V426" s="30">
        <f>V275-Q275</f>
        <v/>
      </c>
      <c r="W426" s="8" t="n"/>
      <c r="X426" s="29">
        <f>X275-S275</f>
        <v/>
      </c>
    </row>
    <row r="427">
      <c r="A427" s="9" t="inlineStr">
        <is>
          <t>DDOG</t>
        </is>
      </c>
      <c r="D427" s="7" t="n"/>
      <c r="H427" s="8" t="n"/>
      <c r="I427" s="29">
        <f>I276-D276</f>
        <v/>
      </c>
      <c r="J427" s="30">
        <f>J276-E276</f>
        <v/>
      </c>
      <c r="K427" s="30">
        <f>K276-F276</f>
        <v/>
      </c>
      <c r="L427" s="30">
        <f>L276-G276</f>
        <v/>
      </c>
      <c r="M427" s="8" t="n"/>
      <c r="N427" s="29">
        <f>N276-I276</f>
        <v/>
      </c>
      <c r="O427" s="30">
        <f>O276-J276</f>
        <v/>
      </c>
      <c r="P427" s="30">
        <f>P276-K276</f>
        <v/>
      </c>
      <c r="Q427" s="30">
        <f>Q276-L276</f>
        <v/>
      </c>
      <c r="R427" s="8" t="n"/>
      <c r="S427" s="29">
        <f>S276-N276</f>
        <v/>
      </c>
      <c r="T427" s="30">
        <f>T276-O276</f>
        <v/>
      </c>
      <c r="U427" s="30">
        <f>U276-P276</f>
        <v/>
      </c>
      <c r="V427" s="30">
        <f>V276-Q276</f>
        <v/>
      </c>
      <c r="W427" s="8" t="n"/>
      <c r="X427" s="29">
        <f>X276-S276</f>
        <v/>
      </c>
    </row>
    <row r="428">
      <c r="A428" s="9" t="inlineStr">
        <is>
          <t>VEEV</t>
        </is>
      </c>
      <c r="D428" s="7" t="n"/>
      <c r="H428" s="8" t="n"/>
      <c r="I428" s="29">
        <f>I277-D277</f>
        <v/>
      </c>
      <c r="J428" s="30">
        <f>J277-E277</f>
        <v/>
      </c>
      <c r="K428" s="30">
        <f>K277-F277</f>
        <v/>
      </c>
      <c r="L428" s="30">
        <f>L277-G277</f>
        <v/>
      </c>
      <c r="M428" s="8" t="n"/>
      <c r="N428" s="29">
        <f>N277-I277</f>
        <v/>
      </c>
      <c r="O428" s="30">
        <f>O277-J277</f>
        <v/>
      </c>
      <c r="P428" s="30">
        <f>P277-K277</f>
        <v/>
      </c>
      <c r="Q428" s="30">
        <f>Q277-L277</f>
        <v/>
      </c>
      <c r="R428" s="8" t="n"/>
      <c r="S428" s="29">
        <f>S277-N277</f>
        <v/>
      </c>
      <c r="T428" s="30">
        <f>T277-O277</f>
        <v/>
      </c>
      <c r="U428" s="30">
        <f>U277-P277</f>
        <v/>
      </c>
      <c r="V428" s="30">
        <f>V277-Q277</f>
        <v/>
      </c>
      <c r="W428" s="8" t="n"/>
      <c r="X428" s="29">
        <f>X277-S277</f>
        <v/>
      </c>
    </row>
    <row r="429">
      <c r="A429" s="9" t="inlineStr">
        <is>
          <t>HUBS</t>
        </is>
      </c>
      <c r="D429" s="7" t="n"/>
      <c r="H429" s="8" t="n"/>
      <c r="I429" s="29">
        <f>I278-D278</f>
        <v/>
      </c>
      <c r="J429" s="30">
        <f>J278-E278</f>
        <v/>
      </c>
      <c r="K429" s="30">
        <f>K278-F278</f>
        <v/>
      </c>
      <c r="L429" s="30">
        <f>L278-G278</f>
        <v/>
      </c>
      <c r="M429" s="8" t="n"/>
      <c r="N429" s="29">
        <f>N278-I278</f>
        <v/>
      </c>
      <c r="O429" s="30">
        <f>O278-J278</f>
        <v/>
      </c>
      <c r="P429" s="30">
        <f>P278-K278</f>
        <v/>
      </c>
      <c r="Q429" s="30">
        <f>Q278-L278</f>
        <v/>
      </c>
      <c r="R429" s="8" t="n"/>
      <c r="S429" s="29">
        <f>S278-N278</f>
        <v/>
      </c>
      <c r="T429" s="30">
        <f>T278-O278</f>
        <v/>
      </c>
      <c r="U429" s="30">
        <f>U278-P278</f>
        <v/>
      </c>
      <c r="V429" s="30">
        <f>V278-Q278</f>
        <v/>
      </c>
      <c r="W429" s="8" t="n"/>
      <c r="X429" s="29">
        <f>X278-S278</f>
        <v/>
      </c>
    </row>
    <row r="430">
      <c r="A430" s="9" t="inlineStr">
        <is>
          <t>ZS</t>
        </is>
      </c>
      <c r="D430" s="7" t="n"/>
      <c r="H430" s="8" t="n"/>
      <c r="I430" s="29">
        <f>I279-D279</f>
        <v/>
      </c>
      <c r="J430" s="30">
        <f>J279-E279</f>
        <v/>
      </c>
      <c r="K430" s="30">
        <f>K279-F279</f>
        <v/>
      </c>
      <c r="L430" s="30">
        <f>L279-G279</f>
        <v/>
      </c>
      <c r="M430" s="8" t="n"/>
      <c r="N430" s="29">
        <f>N279-I279</f>
        <v/>
      </c>
      <c r="O430" s="30">
        <f>O279-J279</f>
        <v/>
      </c>
      <c r="P430" s="30">
        <f>P279-K279</f>
        <v/>
      </c>
      <c r="Q430" s="30">
        <f>Q279-L279</f>
        <v/>
      </c>
      <c r="R430" s="8" t="n"/>
      <c r="S430" s="29">
        <f>S279-N279</f>
        <v/>
      </c>
      <c r="T430" s="30">
        <f>T279-O279</f>
        <v/>
      </c>
      <c r="U430" s="30">
        <f>U279-P279</f>
        <v/>
      </c>
      <c r="V430" s="30">
        <f>V279-Q279</f>
        <v/>
      </c>
      <c r="W430" s="8" t="n"/>
      <c r="X430" s="29">
        <f>X279-S279</f>
        <v/>
      </c>
    </row>
    <row r="431">
      <c r="A431" s="9" t="inlineStr">
        <is>
          <t>OKTA</t>
        </is>
      </c>
      <c r="D431" s="7" t="n"/>
      <c r="H431" s="8" t="n"/>
      <c r="I431" s="29">
        <f>I280-D280</f>
        <v/>
      </c>
      <c r="J431" s="30">
        <f>J280-E280</f>
        <v/>
      </c>
      <c r="K431" s="30">
        <f>K280-F280</f>
        <v/>
      </c>
      <c r="L431" s="30">
        <f>L280-G280</f>
        <v/>
      </c>
      <c r="M431" s="8" t="n"/>
      <c r="N431" s="29">
        <f>N280-I280</f>
        <v/>
      </c>
      <c r="O431" s="30">
        <f>O280-J280</f>
        <v/>
      </c>
      <c r="P431" s="30">
        <f>P280-K280</f>
        <v/>
      </c>
      <c r="Q431" s="30">
        <f>Q280-L280</f>
        <v/>
      </c>
      <c r="R431" s="8" t="n"/>
      <c r="S431" s="29">
        <f>S280-N280</f>
        <v/>
      </c>
      <c r="T431" s="30">
        <f>T280-O280</f>
        <v/>
      </c>
      <c r="U431" s="30">
        <f>U280-P280</f>
        <v/>
      </c>
      <c r="V431" s="30">
        <f>V280-Q280</f>
        <v/>
      </c>
      <c r="W431" s="8" t="n"/>
      <c r="X431" s="29">
        <f>X280-S280</f>
        <v/>
      </c>
    </row>
    <row r="432">
      <c r="A432" s="9" t="inlineStr">
        <is>
          <t>TTD</t>
        </is>
      </c>
      <c r="D432" s="7" t="n"/>
      <c r="H432" s="8" t="n"/>
      <c r="I432" s="29">
        <f>I281-D281</f>
        <v/>
      </c>
      <c r="J432" s="30">
        <f>J281-E281</f>
        <v/>
      </c>
      <c r="K432" s="30">
        <f>K281-F281</f>
        <v/>
      </c>
      <c r="L432" s="30">
        <f>L281-G281</f>
        <v/>
      </c>
      <c r="M432" s="8" t="n"/>
      <c r="N432" s="29">
        <f>N281-I281</f>
        <v/>
      </c>
      <c r="O432" s="30">
        <f>O281-J281</f>
        <v/>
      </c>
      <c r="P432" s="30">
        <f>P281-K281</f>
        <v/>
      </c>
      <c r="Q432" s="30">
        <f>Q281-L281</f>
        <v/>
      </c>
      <c r="R432" s="8" t="n"/>
      <c r="S432" s="29">
        <f>S281-N281</f>
        <v/>
      </c>
      <c r="T432" s="30">
        <f>T281-O281</f>
        <v/>
      </c>
      <c r="U432" s="30">
        <f>U281-P281</f>
        <v/>
      </c>
      <c r="V432" s="30">
        <f>V281-Q281</f>
        <v/>
      </c>
      <c r="W432" s="8" t="n"/>
      <c r="X432" s="29">
        <f>X281-S281</f>
        <v/>
      </c>
    </row>
    <row r="433">
      <c r="A433" s="9" t="inlineStr">
        <is>
          <t>MDB</t>
        </is>
      </c>
      <c r="D433" s="7" t="n"/>
      <c r="H433" s="8" t="n"/>
      <c r="I433" s="29">
        <f>I282-D282</f>
        <v/>
      </c>
      <c r="J433" s="30">
        <f>J282-E282</f>
        <v/>
      </c>
      <c r="K433" s="30">
        <f>K282-F282</f>
        <v/>
      </c>
      <c r="L433" s="30">
        <f>L282-G282</f>
        <v/>
      </c>
      <c r="M433" s="8" t="n"/>
      <c r="N433" s="29">
        <f>N282-I282</f>
        <v/>
      </c>
      <c r="O433" s="30">
        <f>O282-J282</f>
        <v/>
      </c>
      <c r="P433" s="30">
        <f>P282-K282</f>
        <v/>
      </c>
      <c r="Q433" s="30">
        <f>Q282-L282</f>
        <v/>
      </c>
      <c r="R433" s="8" t="n"/>
      <c r="S433" s="29">
        <f>S282-N282</f>
        <v/>
      </c>
      <c r="T433" s="30">
        <f>T282-O282</f>
        <v/>
      </c>
      <c r="U433" s="30">
        <f>U282-P282</f>
        <v/>
      </c>
      <c r="V433" s="30">
        <f>V282-Q282</f>
        <v/>
      </c>
      <c r="W433" s="8" t="n"/>
      <c r="X433" s="29">
        <f>X282-S282</f>
        <v/>
      </c>
    </row>
    <row r="434">
      <c r="A434" s="9" t="inlineStr">
        <is>
          <t>PAYC</t>
        </is>
      </c>
      <c r="D434" s="7" t="n"/>
      <c r="H434" s="8" t="n"/>
      <c r="I434" s="29">
        <f>I283-D283</f>
        <v/>
      </c>
      <c r="J434" s="30">
        <f>J283-E283</f>
        <v/>
      </c>
      <c r="K434" s="30">
        <f>K283-F283</f>
        <v/>
      </c>
      <c r="L434" s="30">
        <f>L283-G283</f>
        <v/>
      </c>
      <c r="M434" s="8" t="n"/>
      <c r="N434" s="29">
        <f>N283-I283</f>
        <v/>
      </c>
      <c r="O434" s="30">
        <f>O283-J283</f>
        <v/>
      </c>
      <c r="P434" s="30">
        <f>P283-K283</f>
        <v/>
      </c>
      <c r="Q434" s="30">
        <f>Q283-L283</f>
        <v/>
      </c>
      <c r="R434" s="8" t="n"/>
      <c r="S434" s="29">
        <f>S283-N283</f>
        <v/>
      </c>
      <c r="T434" s="30">
        <f>T283-O283</f>
        <v/>
      </c>
      <c r="U434" s="30">
        <f>U283-P283</f>
        <v/>
      </c>
      <c r="V434" s="30">
        <f>V283-Q283</f>
        <v/>
      </c>
      <c r="W434" s="8" t="n"/>
      <c r="X434" s="29">
        <f>X283-S283</f>
        <v/>
      </c>
    </row>
    <row r="435">
      <c r="A435" s="9" t="inlineStr">
        <is>
          <t>DT</t>
        </is>
      </c>
      <c r="D435" s="7" t="n"/>
      <c r="H435" s="8" t="n"/>
      <c r="I435" s="29">
        <f>I284-D284</f>
        <v/>
      </c>
      <c r="J435" s="30">
        <f>J284-E284</f>
        <v/>
      </c>
      <c r="K435" s="30">
        <f>K284-F284</f>
        <v/>
      </c>
      <c r="L435" s="30">
        <f>L284-G284</f>
        <v/>
      </c>
      <c r="M435" s="8" t="n"/>
      <c r="N435" s="29">
        <f>N284-I284</f>
        <v/>
      </c>
      <c r="O435" s="30">
        <f>O284-J284</f>
        <v/>
      </c>
      <c r="P435" s="30">
        <f>P284-K284</f>
        <v/>
      </c>
      <c r="Q435" s="30">
        <f>Q284-L284</f>
        <v/>
      </c>
      <c r="R435" s="8" t="n"/>
      <c r="S435" s="29">
        <f>S284-N284</f>
        <v/>
      </c>
      <c r="T435" s="30">
        <f>T284-O284</f>
        <v/>
      </c>
      <c r="U435" s="30">
        <f>U284-P284</f>
        <v/>
      </c>
      <c r="V435" s="30">
        <f>V284-Q284</f>
        <v/>
      </c>
      <c r="W435" s="8" t="n"/>
      <c r="X435" s="29">
        <f>X284-S284</f>
        <v/>
      </c>
    </row>
    <row r="436">
      <c r="A436" s="9" t="inlineStr">
        <is>
          <t>PCTY</t>
        </is>
      </c>
      <c r="D436" s="7" t="n"/>
      <c r="H436" s="8" t="n"/>
      <c r="I436" s="29">
        <f>I285-D285</f>
        <v/>
      </c>
      <c r="J436" s="30">
        <f>J285-E285</f>
        <v/>
      </c>
      <c r="K436" s="30">
        <f>K285-F285</f>
        <v/>
      </c>
      <c r="L436" s="30">
        <f>L285-G285</f>
        <v/>
      </c>
      <c r="M436" s="8" t="n"/>
      <c r="N436" s="29">
        <f>N285-I285</f>
        <v/>
      </c>
      <c r="O436" s="30">
        <f>O285-J285</f>
        <v/>
      </c>
      <c r="P436" s="30">
        <f>P285-K285</f>
        <v/>
      </c>
      <c r="Q436" s="30">
        <f>Q285-L285</f>
        <v/>
      </c>
      <c r="R436" s="8" t="n"/>
      <c r="S436" s="29">
        <f>S285-N285</f>
        <v/>
      </c>
      <c r="T436" s="30">
        <f>T285-O285</f>
        <v/>
      </c>
      <c r="U436" s="30">
        <f>U285-P285</f>
        <v/>
      </c>
      <c r="V436" s="30">
        <f>V285-Q285</f>
        <v/>
      </c>
      <c r="W436" s="8" t="n"/>
      <c r="X436" s="29">
        <f>X285-S285</f>
        <v/>
      </c>
    </row>
    <row r="437">
      <c r="A437" s="9" t="inlineStr">
        <is>
          <t>ESTC</t>
        </is>
      </c>
      <c r="D437" s="7" t="n"/>
      <c r="H437" s="8" t="n"/>
      <c r="I437" s="29">
        <f>I286-D286</f>
        <v/>
      </c>
      <c r="J437" s="30">
        <f>J286-E286</f>
        <v/>
      </c>
      <c r="K437" s="30">
        <f>K286-F286</f>
        <v/>
      </c>
      <c r="L437" s="30">
        <f>L286-G286</f>
        <v/>
      </c>
      <c r="M437" s="8" t="n"/>
      <c r="N437" s="29">
        <f>N286-I286</f>
        <v/>
      </c>
      <c r="O437" s="30">
        <f>O286-J286</f>
        <v/>
      </c>
      <c r="P437" s="30">
        <f>P286-K286</f>
        <v/>
      </c>
      <c r="Q437" s="30">
        <f>Q286-L286</f>
        <v/>
      </c>
      <c r="R437" s="8" t="n"/>
      <c r="S437" s="29">
        <f>S286-N286</f>
        <v/>
      </c>
      <c r="T437" s="30">
        <f>T286-O286</f>
        <v/>
      </c>
      <c r="U437" s="30">
        <f>U286-P286</f>
        <v/>
      </c>
      <c r="V437" s="30">
        <f>V286-Q286</f>
        <v/>
      </c>
      <c r="W437" s="8" t="n"/>
      <c r="X437" s="29">
        <f>X286-S286</f>
        <v/>
      </c>
    </row>
    <row r="438">
      <c r="A438" s="9" t="inlineStr">
        <is>
          <t>BILL</t>
        </is>
      </c>
      <c r="D438" s="7" t="n"/>
      <c r="H438" s="8" t="n"/>
      <c r="I438" s="29">
        <f>I287-D287</f>
        <v/>
      </c>
      <c r="J438" s="30">
        <f>J287-E287</f>
        <v/>
      </c>
      <c r="K438" s="30">
        <f>K287-F287</f>
        <v/>
      </c>
      <c r="L438" s="30">
        <f>L287-G287</f>
        <v/>
      </c>
      <c r="M438" s="8" t="n"/>
      <c r="N438" s="29">
        <f>N287-I287</f>
        <v/>
      </c>
      <c r="O438" s="30">
        <f>O287-J287</f>
        <v/>
      </c>
      <c r="P438" s="30">
        <f>P287-K287</f>
        <v/>
      </c>
      <c r="Q438" s="30">
        <f>Q287-L287</f>
        <v/>
      </c>
      <c r="R438" s="8" t="n"/>
      <c r="S438" s="29">
        <f>S287-N287</f>
        <v/>
      </c>
      <c r="T438" s="30">
        <f>T287-O287</f>
        <v/>
      </c>
      <c r="U438" s="30">
        <f>U287-P287</f>
        <v/>
      </c>
      <c r="V438" s="30">
        <f>V287-Q287</f>
        <v/>
      </c>
      <c r="W438" s="8" t="n"/>
      <c r="X438" s="29">
        <f>X287-S287</f>
        <v/>
      </c>
    </row>
    <row r="439">
      <c r="A439" s="9" t="inlineStr">
        <is>
          <t>BSY</t>
        </is>
      </c>
      <c r="D439" s="7" t="n"/>
      <c r="H439" s="8" t="n"/>
      <c r="I439" s="29">
        <f>I288-D288</f>
        <v/>
      </c>
      <c r="J439" s="30">
        <f>J288-E288</f>
        <v/>
      </c>
      <c r="K439" s="30">
        <f>K288-F288</f>
        <v/>
      </c>
      <c r="L439" s="30">
        <f>L288-G288</f>
        <v/>
      </c>
      <c r="M439" s="8" t="n"/>
      <c r="N439" s="29">
        <f>N288-I288</f>
        <v/>
      </c>
      <c r="O439" s="30">
        <f>O288-J288</f>
        <v/>
      </c>
      <c r="P439" s="30">
        <f>P288-K288</f>
        <v/>
      </c>
      <c r="Q439" s="30">
        <f>Q288-L288</f>
        <v/>
      </c>
      <c r="R439" s="8" t="n"/>
      <c r="S439" s="29">
        <f>S288-N288</f>
        <v/>
      </c>
      <c r="T439" s="30">
        <f>T288-O288</f>
        <v/>
      </c>
      <c r="U439" s="30">
        <f>U288-P288</f>
        <v/>
      </c>
      <c r="V439" s="30">
        <f>V288-Q288</f>
        <v/>
      </c>
      <c r="W439" s="8" t="n"/>
      <c r="X439" s="29">
        <f>X288-S288</f>
        <v/>
      </c>
    </row>
    <row r="440">
      <c r="A440" s="9" t="inlineStr">
        <is>
          <t>GWRE</t>
        </is>
      </c>
      <c r="D440" s="7" t="n"/>
      <c r="H440" s="8" t="n"/>
      <c r="I440" s="29">
        <f>I289-D289</f>
        <v/>
      </c>
      <c r="J440" s="30">
        <f>J289-E289</f>
        <v/>
      </c>
      <c r="K440" s="30">
        <f>K289-F289</f>
        <v/>
      </c>
      <c r="L440" s="30">
        <f>L289-G289</f>
        <v/>
      </c>
      <c r="M440" s="8" t="n"/>
      <c r="N440" s="29">
        <f>N289-I289</f>
        <v/>
      </c>
      <c r="O440" s="30">
        <f>O289-J289</f>
        <v/>
      </c>
      <c r="P440" s="30">
        <f>P289-K289</f>
        <v/>
      </c>
      <c r="Q440" s="30">
        <f>Q289-L289</f>
        <v/>
      </c>
      <c r="R440" s="8" t="n"/>
      <c r="S440" s="29">
        <f>S289-N289</f>
        <v/>
      </c>
      <c r="T440" s="30">
        <f>T289-O289</f>
        <v/>
      </c>
      <c r="U440" s="30">
        <f>U289-P289</f>
        <v/>
      </c>
      <c r="V440" s="30">
        <f>V289-Q289</f>
        <v/>
      </c>
      <c r="W440" s="8" t="n"/>
      <c r="X440" s="29">
        <f>X289-S289</f>
        <v/>
      </c>
    </row>
    <row r="441">
      <c r="A441" s="9" t="inlineStr">
        <is>
          <t>PCOR</t>
        </is>
      </c>
      <c r="D441" s="7" t="n"/>
      <c r="H441" s="8" t="n"/>
      <c r="I441" s="29">
        <f>I290-D290</f>
        <v/>
      </c>
      <c r="J441" s="30">
        <f>J290-E290</f>
        <v/>
      </c>
      <c r="K441" s="30">
        <f>K290-F290</f>
        <v/>
      </c>
      <c r="L441" s="30">
        <f>L290-G290</f>
        <v/>
      </c>
      <c r="M441" s="8" t="n"/>
      <c r="N441" s="29">
        <f>N290-I290</f>
        <v/>
      </c>
      <c r="O441" s="30">
        <f>O290-J290</f>
        <v/>
      </c>
      <c r="P441" s="30">
        <f>P290-K290</f>
        <v/>
      </c>
      <c r="Q441" s="30">
        <f>Q290-L290</f>
        <v/>
      </c>
      <c r="R441" s="8" t="n"/>
      <c r="S441" s="29">
        <f>S290-N290</f>
        <v/>
      </c>
      <c r="T441" s="30">
        <f>T290-O290</f>
        <v/>
      </c>
      <c r="U441" s="30">
        <f>U290-P290</f>
        <v/>
      </c>
      <c r="V441" s="30">
        <f>V290-Q290</f>
        <v/>
      </c>
      <c r="W441" s="8" t="n"/>
      <c r="X441" s="29">
        <f>X290-S290</f>
        <v/>
      </c>
    </row>
    <row r="442">
      <c r="A442" s="9" t="inlineStr">
        <is>
          <t>ZI</t>
        </is>
      </c>
      <c r="D442" s="7" t="n"/>
      <c r="H442" s="8" t="n"/>
      <c r="I442" s="29">
        <f>I291-D291</f>
        <v/>
      </c>
      <c r="J442" s="30">
        <f>J291-E291</f>
        <v/>
      </c>
      <c r="K442" s="30">
        <f>K291-F291</f>
        <v/>
      </c>
      <c r="L442" s="30">
        <f>L291-G291</f>
        <v/>
      </c>
      <c r="M442" s="8" t="n"/>
      <c r="N442" s="29">
        <f>N291-I291</f>
        <v/>
      </c>
      <c r="O442" s="30">
        <f>O291-J291</f>
        <v/>
      </c>
      <c r="P442" s="30">
        <f>P291-K291</f>
        <v/>
      </c>
      <c r="Q442" s="30">
        <f>Q291-L291</f>
        <v/>
      </c>
      <c r="R442" s="8" t="n"/>
      <c r="S442" s="29">
        <f>S291-N291</f>
        <v/>
      </c>
      <c r="T442" s="30">
        <f>T291-O291</f>
        <v/>
      </c>
      <c r="U442" s="30">
        <f>U291-P291</f>
        <v/>
      </c>
      <c r="V442" s="30">
        <f>V291-Q291</f>
        <v/>
      </c>
      <c r="W442" s="8" t="n"/>
      <c r="X442" s="29">
        <f>X291-S291</f>
        <v/>
      </c>
    </row>
    <row r="443">
      <c r="A443" s="9" t="inlineStr">
        <is>
          <t>KVYO</t>
        </is>
      </c>
      <c r="D443" s="7" t="n"/>
      <c r="H443" s="8" t="n"/>
      <c r="I443" s="29">
        <f>I292-D292</f>
        <v/>
      </c>
      <c r="J443" s="30">
        <f>J292-E292</f>
        <v/>
      </c>
      <c r="K443" s="30">
        <f>K292-F292</f>
        <v/>
      </c>
      <c r="L443" s="30">
        <f>L292-G292</f>
        <v/>
      </c>
      <c r="M443" s="8" t="n"/>
      <c r="N443" s="29">
        <f>N292-I292</f>
        <v/>
      </c>
      <c r="O443" s="30">
        <f>O292-J292</f>
        <v/>
      </c>
      <c r="P443" s="30">
        <f>P292-K292</f>
        <v/>
      </c>
      <c r="Q443" s="30">
        <f>Q292-L292</f>
        <v/>
      </c>
      <c r="R443" s="8" t="n"/>
      <c r="S443" s="29">
        <f>S292-N292</f>
        <v/>
      </c>
      <c r="T443" s="30">
        <f>T292-O292</f>
        <v/>
      </c>
      <c r="U443" s="30">
        <f>U292-P292</f>
        <v/>
      </c>
      <c r="V443" s="30">
        <f>V292-Q292</f>
        <v/>
      </c>
      <c r="W443" s="8" t="n"/>
      <c r="X443" s="29">
        <f>X292-S292</f>
        <v/>
      </c>
    </row>
    <row r="444">
      <c r="A444" s="9" t="inlineStr">
        <is>
          <t>MNDY</t>
        </is>
      </c>
      <c r="D444" s="7" t="n"/>
      <c r="H444" s="8" t="n"/>
      <c r="I444" s="29">
        <f>I293-D293</f>
        <v/>
      </c>
      <c r="J444" s="30">
        <f>J293-E293</f>
        <v/>
      </c>
      <c r="K444" s="30">
        <f>K293-F293</f>
        <v/>
      </c>
      <c r="L444" s="30">
        <f>L293-G293</f>
        <v/>
      </c>
      <c r="M444" s="8" t="n"/>
      <c r="N444" s="29">
        <f>N293-I293</f>
        <v/>
      </c>
      <c r="O444" s="30">
        <f>O293-J293</f>
        <v/>
      </c>
      <c r="P444" s="30">
        <f>P293-K293</f>
        <v/>
      </c>
      <c r="Q444" s="30">
        <f>Q293-L293</f>
        <v/>
      </c>
      <c r="R444" s="8" t="n"/>
      <c r="S444" s="29">
        <f>S293-N293</f>
        <v/>
      </c>
      <c r="T444" s="30">
        <f>T293-O293</f>
        <v/>
      </c>
      <c r="U444" s="30">
        <f>U293-P293</f>
        <v/>
      </c>
      <c r="V444" s="30">
        <f>V293-Q293</f>
        <v/>
      </c>
      <c r="W444" s="8" t="n"/>
      <c r="X444" s="29">
        <f>X293-S293</f>
        <v/>
      </c>
    </row>
    <row r="445">
      <c r="A445" s="9" t="inlineStr">
        <is>
          <t>CFLT</t>
        </is>
      </c>
      <c r="D445" s="7" t="n"/>
      <c r="H445" s="8" t="n"/>
      <c r="I445" s="29">
        <f>I294-D294</f>
        <v/>
      </c>
      <c r="J445" s="30">
        <f>J294-E294</f>
        <v/>
      </c>
      <c r="K445" s="30">
        <f>K294-F294</f>
        <v/>
      </c>
      <c r="L445" s="30">
        <f>L294-G294</f>
        <v/>
      </c>
      <c r="M445" s="8" t="n"/>
      <c r="N445" s="29">
        <f>N294-I294</f>
        <v/>
      </c>
      <c r="O445" s="30">
        <f>O294-J294</f>
        <v/>
      </c>
      <c r="P445" s="30">
        <f>P294-K294</f>
        <v/>
      </c>
      <c r="Q445" s="30">
        <f>Q294-L294</f>
        <v/>
      </c>
      <c r="R445" s="8" t="n"/>
      <c r="S445" s="29">
        <f>S294-N294</f>
        <v/>
      </c>
      <c r="T445" s="30">
        <f>T294-O294</f>
        <v/>
      </c>
      <c r="U445" s="30">
        <f>U294-P294</f>
        <v/>
      </c>
      <c r="V445" s="30">
        <f>V294-Q294</f>
        <v/>
      </c>
      <c r="W445" s="8" t="n"/>
      <c r="X445" s="29">
        <f>X294-S294</f>
        <v/>
      </c>
    </row>
    <row r="446">
      <c r="A446" s="9" t="inlineStr">
        <is>
          <t>AZPN</t>
        </is>
      </c>
      <c r="D446" s="7" t="n"/>
      <c r="H446" s="8" t="n"/>
      <c r="I446" s="29">
        <f>I295-D295</f>
        <v/>
      </c>
      <c r="J446" s="30">
        <f>J295-E295</f>
        <v/>
      </c>
      <c r="K446" s="30">
        <f>K295-F295</f>
        <v/>
      </c>
      <c r="L446" s="30">
        <f>L295-G295</f>
        <v/>
      </c>
      <c r="M446" s="8" t="n"/>
      <c r="N446" s="29">
        <f>N295-I295</f>
        <v/>
      </c>
      <c r="O446" s="30">
        <f>O295-J295</f>
        <v/>
      </c>
      <c r="P446" s="30">
        <f>P295-K295</f>
        <v/>
      </c>
      <c r="Q446" s="30">
        <f>Q295-L295</f>
        <v/>
      </c>
      <c r="R446" s="8" t="n"/>
      <c r="S446" s="29">
        <f>S295-N295</f>
        <v/>
      </c>
      <c r="T446" s="30">
        <f>T295-O295</f>
        <v/>
      </c>
      <c r="U446" s="30">
        <f>U295-P295</f>
        <v/>
      </c>
      <c r="V446" s="30">
        <f>V295-Q295</f>
        <v/>
      </c>
      <c r="W446" s="8" t="n"/>
      <c r="X446" s="29">
        <f>X295-S295</f>
        <v/>
      </c>
    </row>
    <row r="447">
      <c r="A447" s="9" t="inlineStr">
        <is>
          <t>MANH</t>
        </is>
      </c>
      <c r="D447" s="7" t="n"/>
      <c r="H447" s="8" t="n"/>
      <c r="I447" s="29">
        <f>I296-D296</f>
        <v/>
      </c>
      <c r="J447" s="30">
        <f>J296-E296</f>
        <v/>
      </c>
      <c r="K447" s="30">
        <f>K296-F296</f>
        <v/>
      </c>
      <c r="L447" s="30">
        <f>L296-G296</f>
        <v/>
      </c>
      <c r="M447" s="8" t="n"/>
      <c r="N447" s="29">
        <f>N296-I296</f>
        <v/>
      </c>
      <c r="O447" s="30">
        <f>O296-J296</f>
        <v/>
      </c>
      <c r="P447" s="30">
        <f>P296-K296</f>
        <v/>
      </c>
      <c r="Q447" s="30">
        <f>Q296-L296</f>
        <v/>
      </c>
      <c r="R447" s="8" t="n"/>
      <c r="S447" s="29">
        <f>S296-N296</f>
        <v/>
      </c>
      <c r="T447" s="30">
        <f>T296-O296</f>
        <v/>
      </c>
      <c r="U447" s="30">
        <f>U296-P296</f>
        <v/>
      </c>
      <c r="V447" s="30">
        <f>V296-Q296</f>
        <v/>
      </c>
      <c r="W447" s="8" t="n"/>
      <c r="X447" s="29">
        <f>X296-S296</f>
        <v/>
      </c>
    </row>
    <row r="448">
      <c r="A448" s="9" t="inlineStr">
        <is>
          <t>S</t>
        </is>
      </c>
      <c r="D448" s="7" t="n"/>
      <c r="H448" s="8" t="n"/>
      <c r="I448" s="29">
        <f>I297-D297</f>
        <v/>
      </c>
      <c r="J448" s="30">
        <f>J297-E297</f>
        <v/>
      </c>
      <c r="K448" s="30">
        <f>K297-F297</f>
        <v/>
      </c>
      <c r="L448" s="30">
        <f>L297-G297</f>
        <v/>
      </c>
      <c r="M448" s="8" t="n"/>
      <c r="N448" s="29">
        <f>N297-I297</f>
        <v/>
      </c>
      <c r="O448" s="30">
        <f>O297-J297</f>
        <v/>
      </c>
      <c r="P448" s="30">
        <f>P297-K297</f>
        <v/>
      </c>
      <c r="Q448" s="30">
        <f>Q297-L297</f>
        <v/>
      </c>
      <c r="R448" s="8" t="n"/>
      <c r="S448" s="29">
        <f>S297-N297</f>
        <v/>
      </c>
      <c r="T448" s="30">
        <f>T297-O297</f>
        <v/>
      </c>
      <c r="U448" s="30">
        <f>U297-P297</f>
        <v/>
      </c>
      <c r="V448" s="30">
        <f>V297-Q297</f>
        <v/>
      </c>
      <c r="W448" s="8" t="n"/>
      <c r="X448" s="29">
        <f>X297-S297</f>
        <v/>
      </c>
    </row>
    <row r="449">
      <c r="A449" s="9" t="inlineStr">
        <is>
          <t>TENB</t>
        </is>
      </c>
      <c r="D449" s="7" t="n"/>
      <c r="H449" s="8" t="n"/>
      <c r="I449" s="29">
        <f>I298-D298</f>
        <v/>
      </c>
      <c r="J449" s="30">
        <f>J298-E298</f>
        <v/>
      </c>
      <c r="K449" s="30">
        <f>K298-F298</f>
        <v/>
      </c>
      <c r="L449" s="30">
        <f>L298-G298</f>
        <v/>
      </c>
      <c r="M449" s="8" t="n"/>
      <c r="N449" s="29">
        <f>N298-I298</f>
        <v/>
      </c>
      <c r="O449" s="30">
        <f>O298-J298</f>
        <v/>
      </c>
      <c r="P449" s="30">
        <f>P298-K298</f>
        <v/>
      </c>
      <c r="Q449" s="30">
        <f>Q298-L298</f>
        <v/>
      </c>
      <c r="R449" s="8" t="n"/>
      <c r="S449" s="29">
        <f>S298-N298</f>
        <v/>
      </c>
      <c r="T449" s="30">
        <f>T298-O298</f>
        <v/>
      </c>
      <c r="U449" s="30">
        <f>U298-P298</f>
        <v/>
      </c>
      <c r="V449" s="30">
        <f>V298-Q298</f>
        <v/>
      </c>
      <c r="W449" s="8" t="n"/>
      <c r="X449" s="29">
        <f>X298-S298</f>
        <v/>
      </c>
    </row>
    <row r="450">
      <c r="A450" s="9" t="inlineStr">
        <is>
          <t>GTLB</t>
        </is>
      </c>
      <c r="D450" s="7" t="n"/>
      <c r="H450" s="8" t="n"/>
      <c r="I450" s="29">
        <f>I299-D299</f>
        <v/>
      </c>
      <c r="J450" s="30">
        <f>J299-E299</f>
        <v/>
      </c>
      <c r="K450" s="30">
        <f>K299-F299</f>
        <v/>
      </c>
      <c r="L450" s="30">
        <f>L299-G299</f>
        <v/>
      </c>
      <c r="M450" s="8" t="n"/>
      <c r="N450" s="29">
        <f>N299-I299</f>
        <v/>
      </c>
      <c r="O450" s="30">
        <f>O299-J299</f>
        <v/>
      </c>
      <c r="P450" s="30">
        <f>P299-K299</f>
        <v/>
      </c>
      <c r="Q450" s="30">
        <f>Q299-L299</f>
        <v/>
      </c>
      <c r="R450" s="8" t="n"/>
      <c r="S450" s="29">
        <f>S299-N299</f>
        <v/>
      </c>
      <c r="T450" s="30">
        <f>T299-O299</f>
        <v/>
      </c>
      <c r="U450" s="30">
        <f>U299-P299</f>
        <v/>
      </c>
      <c r="V450" s="30">
        <f>V299-Q299</f>
        <v/>
      </c>
      <c r="W450" s="8" t="n"/>
      <c r="X450" s="29">
        <f>X299-S299</f>
        <v/>
      </c>
    </row>
    <row r="451">
      <c r="A451" s="9" t="inlineStr">
        <is>
          <t>DOCN</t>
        </is>
      </c>
      <c r="D451" s="7" t="n"/>
      <c r="H451" s="8" t="n"/>
      <c r="I451" s="29">
        <f>I300-D300</f>
        <v/>
      </c>
      <c r="J451" s="30">
        <f>J300-E300</f>
        <v/>
      </c>
      <c r="K451" s="30">
        <f>K300-F300</f>
        <v/>
      </c>
      <c r="L451" s="30">
        <f>L300-G300</f>
        <v/>
      </c>
      <c r="M451" s="8" t="n"/>
      <c r="N451" s="29">
        <f>N300-I300</f>
        <v/>
      </c>
      <c r="O451" s="30">
        <f>O300-J300</f>
        <v/>
      </c>
      <c r="P451" s="30">
        <f>P300-K300</f>
        <v/>
      </c>
      <c r="Q451" s="30">
        <f>Q300-L300</f>
        <v/>
      </c>
      <c r="R451" s="8" t="n"/>
      <c r="S451" s="29">
        <f>S300-N300</f>
        <v/>
      </c>
      <c r="T451" s="30">
        <f>T300-O300</f>
        <v/>
      </c>
      <c r="U451" s="30">
        <f>U300-P300</f>
        <v/>
      </c>
      <c r="V451" s="30">
        <f>V300-Q300</f>
        <v/>
      </c>
      <c r="W451" s="8" t="n"/>
      <c r="X451" s="29">
        <f>X300-S300</f>
        <v/>
      </c>
    </row>
    <row r="452">
      <c r="A452" s="9" t="inlineStr">
        <is>
          <t>SPSC</t>
        </is>
      </c>
      <c r="D452" s="7" t="n"/>
      <c r="H452" s="8" t="n"/>
      <c r="I452" s="29">
        <f>I301-D301</f>
        <v/>
      </c>
      <c r="J452" s="30">
        <f>J301-E301</f>
        <v/>
      </c>
      <c r="K452" s="30">
        <f>K301-F301</f>
        <v/>
      </c>
      <c r="L452" s="30">
        <f>L301-G301</f>
        <v/>
      </c>
      <c r="M452" s="8" t="n"/>
      <c r="N452" s="29">
        <f>N301-I301</f>
        <v/>
      </c>
      <c r="O452" s="30">
        <f>O301-J301</f>
        <v/>
      </c>
      <c r="P452" s="30">
        <f>P301-K301</f>
        <v/>
      </c>
      <c r="Q452" s="30">
        <f>Q301-L301</f>
        <v/>
      </c>
      <c r="R452" s="8" t="n"/>
      <c r="S452" s="29">
        <f>S301-N301</f>
        <v/>
      </c>
      <c r="T452" s="30">
        <f>T301-O301</f>
        <v/>
      </c>
      <c r="U452" s="30">
        <f>U301-P301</f>
        <v/>
      </c>
      <c r="V452" s="30">
        <f>V301-Q301</f>
        <v/>
      </c>
      <c r="W452" s="8" t="n"/>
      <c r="X452" s="29">
        <f>X301-S301</f>
        <v/>
      </c>
    </row>
    <row r="453">
      <c r="A453" s="9" t="inlineStr">
        <is>
          <t>BRZE</t>
        </is>
      </c>
      <c r="D453" s="7" t="n"/>
      <c r="H453" s="8" t="n"/>
      <c r="I453" s="29">
        <f>I302-D302</f>
        <v/>
      </c>
      <c r="J453" s="30">
        <f>J302-E302</f>
        <v/>
      </c>
      <c r="K453" s="30">
        <f>K302-F302</f>
        <v/>
      </c>
      <c r="L453" s="30">
        <f>L302-G302</f>
        <v/>
      </c>
      <c r="M453" s="8" t="n"/>
      <c r="N453" s="29">
        <f>N302-I302</f>
        <v/>
      </c>
      <c r="O453" s="30">
        <f>O302-J302</f>
        <v/>
      </c>
      <c r="P453" s="30">
        <f>P302-K302</f>
        <v/>
      </c>
      <c r="Q453" s="30">
        <f>Q302-L302</f>
        <v/>
      </c>
      <c r="R453" s="8" t="n"/>
      <c r="S453" s="29">
        <f>S302-N302</f>
        <v/>
      </c>
      <c r="T453" s="30">
        <f>T302-O302</f>
        <v/>
      </c>
      <c r="U453" s="30">
        <f>U302-P302</f>
        <v/>
      </c>
      <c r="V453" s="30">
        <f>V302-Q302</f>
        <v/>
      </c>
      <c r="W453" s="8" t="n"/>
      <c r="X453" s="29">
        <f>X302-S302</f>
        <v/>
      </c>
    </row>
    <row r="454">
      <c r="A454" s="9" t="inlineStr">
        <is>
          <t>CWAN</t>
        </is>
      </c>
      <c r="D454" s="7" t="n"/>
      <c r="H454" s="8" t="n"/>
      <c r="I454" s="29">
        <f>I303-D303</f>
        <v/>
      </c>
      <c r="J454" s="30">
        <f>J303-E303</f>
        <v/>
      </c>
      <c r="K454" s="30">
        <f>K303-F303</f>
        <v/>
      </c>
      <c r="L454" s="30">
        <f>L303-G303</f>
        <v/>
      </c>
      <c r="M454" s="8" t="n"/>
      <c r="N454" s="29">
        <f>N303-I303</f>
        <v/>
      </c>
      <c r="O454" s="30">
        <f>O303-J303</f>
        <v/>
      </c>
      <c r="P454" s="30">
        <f>P303-K303</f>
        <v/>
      </c>
      <c r="Q454" s="30">
        <f>Q303-L303</f>
        <v/>
      </c>
      <c r="R454" s="8" t="n"/>
      <c r="S454" s="29">
        <f>S303-N303</f>
        <v/>
      </c>
      <c r="T454" s="30">
        <f>T303-O303</f>
        <v/>
      </c>
      <c r="U454" s="30">
        <f>U303-P303</f>
        <v/>
      </c>
      <c r="V454" s="30">
        <f>V303-Q303</f>
        <v/>
      </c>
      <c r="W454" s="8" t="n"/>
      <c r="X454" s="29">
        <f>X303-S303</f>
        <v/>
      </c>
    </row>
    <row r="455">
      <c r="A455" s="9" t="inlineStr">
        <is>
          <t>APPN</t>
        </is>
      </c>
      <c r="D455" s="7" t="n"/>
      <c r="H455" s="8" t="n"/>
      <c r="I455" s="29">
        <f>I304-D304</f>
        <v/>
      </c>
      <c r="J455" s="30">
        <f>J304-E304</f>
        <v/>
      </c>
      <c r="K455" s="30">
        <f>K304-F304</f>
        <v/>
      </c>
      <c r="L455" s="30">
        <f>L304-G304</f>
        <v/>
      </c>
      <c r="M455" s="8" t="n"/>
      <c r="N455" s="29">
        <f>N304-I304</f>
        <v/>
      </c>
      <c r="O455" s="30">
        <f>O304-J304</f>
        <v/>
      </c>
      <c r="P455" s="30">
        <f>P304-K304</f>
        <v/>
      </c>
      <c r="Q455" s="30">
        <f>Q304-L304</f>
        <v/>
      </c>
      <c r="R455" s="8" t="n"/>
      <c r="S455" s="29">
        <f>S304-N304</f>
        <v/>
      </c>
      <c r="T455" s="30">
        <f>T304-O304</f>
        <v/>
      </c>
      <c r="U455" s="30">
        <f>U304-P304</f>
        <v/>
      </c>
      <c r="V455" s="30">
        <f>V304-Q304</f>
        <v/>
      </c>
      <c r="W455" s="8" t="n"/>
      <c r="X455" s="29">
        <f>X304-S304</f>
        <v/>
      </c>
    </row>
    <row r="456">
      <c r="A456" s="9" t="inlineStr">
        <is>
          <t>QLYS</t>
        </is>
      </c>
      <c r="D456" s="7" t="n"/>
      <c r="H456" s="8" t="n"/>
      <c r="I456" s="29">
        <f>I305-D305</f>
        <v/>
      </c>
      <c r="J456" s="30">
        <f>J305-E305</f>
        <v/>
      </c>
      <c r="K456" s="30">
        <f>K305-F305</f>
        <v/>
      </c>
      <c r="L456" s="30">
        <f>L305-G305</f>
        <v/>
      </c>
      <c r="M456" s="8" t="n"/>
      <c r="N456" s="29">
        <f>N305-I305</f>
        <v/>
      </c>
      <c r="O456" s="30">
        <f>O305-J305</f>
        <v/>
      </c>
      <c r="P456" s="30">
        <f>P305-K305</f>
        <v/>
      </c>
      <c r="Q456" s="30">
        <f>Q305-L305</f>
        <v/>
      </c>
      <c r="R456" s="8" t="n"/>
      <c r="S456" s="29">
        <f>S305-N305</f>
        <v/>
      </c>
      <c r="T456" s="30">
        <f>T305-O305</f>
        <v/>
      </c>
      <c r="U456" s="30">
        <f>U305-P305</f>
        <v/>
      </c>
      <c r="V456" s="30">
        <f>V305-Q305</f>
        <v/>
      </c>
      <c r="W456" s="8" t="n"/>
      <c r="X456" s="29">
        <f>X305-S305</f>
        <v/>
      </c>
    </row>
    <row r="457">
      <c r="A457" s="9" t="inlineStr">
        <is>
          <t>NCNO</t>
        </is>
      </c>
      <c r="D457" s="7" t="n"/>
      <c r="H457" s="8" t="n"/>
      <c r="I457" s="29">
        <f>I306-D306</f>
        <v/>
      </c>
      <c r="J457" s="30">
        <f>J306-E306</f>
        <v/>
      </c>
      <c r="K457" s="30">
        <f>K306-F306</f>
        <v/>
      </c>
      <c r="L457" s="30">
        <f>L306-G306</f>
        <v/>
      </c>
      <c r="M457" s="8" t="n"/>
      <c r="N457" s="29">
        <f>N306-I306</f>
        <v/>
      </c>
      <c r="O457" s="30">
        <f>O306-J306</f>
        <v/>
      </c>
      <c r="P457" s="30">
        <f>P306-K306</f>
        <v/>
      </c>
      <c r="Q457" s="30">
        <f>Q306-L306</f>
        <v/>
      </c>
      <c r="R457" s="8" t="n"/>
      <c r="S457" s="29">
        <f>S306-N306</f>
        <v/>
      </c>
      <c r="T457" s="30">
        <f>T306-O306</f>
        <v/>
      </c>
      <c r="U457" s="30">
        <f>U306-P306</f>
        <v/>
      </c>
      <c r="V457" s="30">
        <f>V306-Q306</f>
        <v/>
      </c>
      <c r="W457" s="8" t="n"/>
      <c r="X457" s="29">
        <f>X306-S306</f>
        <v/>
      </c>
    </row>
    <row r="458">
      <c r="A458" s="9" t="inlineStr">
        <is>
          <t>FROG</t>
        </is>
      </c>
      <c r="D458" s="7" t="n"/>
      <c r="H458" s="8" t="n"/>
      <c r="I458" s="29">
        <f>I307-D307</f>
        <v/>
      </c>
      <c r="J458" s="30">
        <f>J307-E307</f>
        <v/>
      </c>
      <c r="K458" s="30">
        <f>K307-F307</f>
        <v/>
      </c>
      <c r="L458" s="30">
        <f>L307-G307</f>
        <v/>
      </c>
      <c r="M458" s="8" t="n"/>
      <c r="N458" s="29">
        <f>N307-I307</f>
        <v/>
      </c>
      <c r="O458" s="30">
        <f>O307-J307</f>
        <v/>
      </c>
      <c r="P458" s="30">
        <f>P307-K307</f>
        <v/>
      </c>
      <c r="Q458" s="30">
        <f>Q307-L307</f>
        <v/>
      </c>
      <c r="R458" s="8" t="n"/>
      <c r="S458" s="29">
        <f>S307-N307</f>
        <v/>
      </c>
      <c r="T458" s="30">
        <f>T307-O307</f>
        <v/>
      </c>
      <c r="U458" s="30">
        <f>U307-P307</f>
        <v/>
      </c>
      <c r="V458" s="30">
        <f>V307-Q307</f>
        <v/>
      </c>
      <c r="W458" s="8" t="n"/>
      <c r="X458" s="29">
        <f>X307-S307</f>
        <v/>
      </c>
    </row>
    <row r="459">
      <c r="D459" s="7" t="n"/>
      <c r="H459" s="8" t="n"/>
      <c r="I459" s="7" t="n"/>
      <c r="M459" s="8" t="n"/>
      <c r="N459" s="7" t="n"/>
      <c r="R459" s="8" t="n"/>
      <c r="S459" s="7" t="n"/>
      <c r="W459" s="8" t="n"/>
      <c r="X459" s="7" t="n"/>
    </row>
    <row r="460">
      <c r="A460" s="3" t="inlineStr">
        <is>
          <t>$ QoQ</t>
        </is>
      </c>
      <c r="D460" s="7" t="n"/>
      <c r="H460" s="8" t="n"/>
      <c r="I460" s="7" t="n"/>
      <c r="M460" s="8" t="n"/>
      <c r="N460" s="7" t="n"/>
      <c r="R460" s="8" t="n"/>
      <c r="S460" s="7" t="n"/>
      <c r="W460" s="8" t="n"/>
      <c r="X460" s="7" t="n"/>
    </row>
    <row r="461">
      <c r="A461" s="9" t="inlineStr">
        <is>
          <t>ADBE</t>
        </is>
      </c>
      <c r="D461" s="7" t="n"/>
      <c r="E461" s="30">
        <f>E260-D260</f>
        <v/>
      </c>
      <c r="F461" s="30">
        <f>F260-E260</f>
        <v/>
      </c>
      <c r="G461" s="30">
        <f>G260-F260</f>
        <v/>
      </c>
      <c r="H461" s="8" t="n"/>
      <c r="I461" s="29">
        <f>I260-G260</f>
        <v/>
      </c>
      <c r="J461" s="30">
        <f>J260-I260</f>
        <v/>
      </c>
      <c r="K461" s="30">
        <f>K260-J260</f>
        <v/>
      </c>
      <c r="L461" s="30">
        <f>L260-K260</f>
        <v/>
      </c>
      <c r="M461" s="8" t="n"/>
      <c r="N461" s="29">
        <f>N260-L260</f>
        <v/>
      </c>
      <c r="O461" s="30">
        <f>O260-N260</f>
        <v/>
      </c>
      <c r="P461" s="30">
        <f>P260-O260</f>
        <v/>
      </c>
      <c r="Q461" s="30">
        <f>Q260-P260</f>
        <v/>
      </c>
      <c r="R461" s="8" t="n"/>
      <c r="S461" s="29">
        <f>S260-Q260</f>
        <v/>
      </c>
      <c r="T461" s="30">
        <f>T260-S260</f>
        <v/>
      </c>
      <c r="U461" s="30">
        <f>U260-T260</f>
        <v/>
      </c>
      <c r="V461" s="30">
        <f>V260-U260</f>
        <v/>
      </c>
      <c r="W461" s="8" t="n"/>
      <c r="X461" s="29">
        <f>X260-V260</f>
        <v/>
      </c>
    </row>
    <row r="462">
      <c r="A462" s="9" t="inlineStr">
        <is>
          <t>INTU</t>
        </is>
      </c>
      <c r="D462" s="7" t="n"/>
      <c r="E462" s="30">
        <f>E261-D261</f>
        <v/>
      </c>
      <c r="F462" s="30">
        <f>F261-E261</f>
        <v/>
      </c>
      <c r="G462" s="30">
        <f>G261-F261</f>
        <v/>
      </c>
      <c r="H462" s="8" t="n"/>
      <c r="I462" s="29">
        <f>I261-G261</f>
        <v/>
      </c>
      <c r="J462" s="30">
        <f>J261-I261</f>
        <v/>
      </c>
      <c r="K462" s="30">
        <f>K261-J261</f>
        <v/>
      </c>
      <c r="L462" s="30">
        <f>L261-K261</f>
        <v/>
      </c>
      <c r="M462" s="8" t="n"/>
      <c r="N462" s="29">
        <f>N261-L261</f>
        <v/>
      </c>
      <c r="O462" s="30">
        <f>O261-N261</f>
        <v/>
      </c>
      <c r="P462" s="30">
        <f>P261-O261</f>
        <v/>
      </c>
      <c r="Q462" s="30">
        <f>Q261-P261</f>
        <v/>
      </c>
      <c r="R462" s="8" t="n"/>
      <c r="S462" s="29">
        <f>S261-Q261</f>
        <v/>
      </c>
      <c r="T462" s="30">
        <f>T261-S261</f>
        <v/>
      </c>
      <c r="U462" s="30">
        <f>U261-T261</f>
        <v/>
      </c>
      <c r="V462" s="30">
        <f>V261-U261</f>
        <v/>
      </c>
      <c r="W462" s="8" t="n"/>
      <c r="X462" s="29">
        <f>X261-V261</f>
        <v/>
      </c>
    </row>
    <row r="463">
      <c r="A463" s="9" t="inlineStr">
        <is>
          <t>NOW</t>
        </is>
      </c>
      <c r="D463" s="7" t="n"/>
      <c r="E463" s="30">
        <f>E262-D262</f>
        <v/>
      </c>
      <c r="F463" s="30">
        <f>F262-E262</f>
        <v/>
      </c>
      <c r="G463" s="30">
        <f>G262-F262</f>
        <v/>
      </c>
      <c r="H463" s="8" t="n"/>
      <c r="I463" s="29">
        <f>I262-G262</f>
        <v/>
      </c>
      <c r="J463" s="30">
        <f>J262-I262</f>
        <v/>
      </c>
      <c r="K463" s="30">
        <f>K262-J262</f>
        <v/>
      </c>
      <c r="L463" s="30">
        <f>L262-K262</f>
        <v/>
      </c>
      <c r="M463" s="8" t="n"/>
      <c r="N463" s="29">
        <f>N262-L262</f>
        <v/>
      </c>
      <c r="O463" s="30">
        <f>O262-N262</f>
        <v/>
      </c>
      <c r="P463" s="30">
        <f>P262-O262</f>
        <v/>
      </c>
      <c r="Q463" s="30">
        <f>Q262-P262</f>
        <v/>
      </c>
      <c r="R463" s="8" t="n"/>
      <c r="S463" s="29">
        <f>S262-Q262</f>
        <v/>
      </c>
      <c r="T463" s="30">
        <f>T262-S262</f>
        <v/>
      </c>
      <c r="U463" s="30">
        <f>U262-T262</f>
        <v/>
      </c>
      <c r="V463" s="30">
        <f>V262-U262</f>
        <v/>
      </c>
      <c r="W463" s="8" t="n"/>
      <c r="X463" s="29">
        <f>X262-V262</f>
        <v/>
      </c>
    </row>
    <row r="464">
      <c r="A464" s="9" t="inlineStr">
        <is>
          <t>PANW</t>
        </is>
      </c>
      <c r="D464" s="7" t="n"/>
      <c r="E464" s="30">
        <f>E263-D263</f>
        <v/>
      </c>
      <c r="F464" s="30">
        <f>F263-E263</f>
        <v/>
      </c>
      <c r="G464" s="30">
        <f>G263-F263</f>
        <v/>
      </c>
      <c r="H464" s="8" t="n"/>
      <c r="I464" s="29">
        <f>I263-G263</f>
        <v/>
      </c>
      <c r="J464" s="30">
        <f>J263-I263</f>
        <v/>
      </c>
      <c r="K464" s="30">
        <f>K263-J263</f>
        <v/>
      </c>
      <c r="L464" s="30">
        <f>L263-K263</f>
        <v/>
      </c>
      <c r="M464" s="8" t="n"/>
      <c r="N464" s="29">
        <f>N263-L263</f>
        <v/>
      </c>
      <c r="O464" s="30">
        <f>O263-N263</f>
        <v/>
      </c>
      <c r="P464" s="30">
        <f>P263-O263</f>
        <v/>
      </c>
      <c r="Q464" s="30">
        <f>Q263-P263</f>
        <v/>
      </c>
      <c r="R464" s="8" t="n"/>
      <c r="S464" s="29">
        <f>S263-Q263</f>
        <v/>
      </c>
      <c r="T464" s="30">
        <f>T263-S263</f>
        <v/>
      </c>
      <c r="U464" s="30">
        <f>U263-T263</f>
        <v/>
      </c>
      <c r="V464" s="30">
        <f>V263-U263</f>
        <v/>
      </c>
      <c r="W464" s="8" t="n"/>
      <c r="X464" s="29">
        <f>X263-V263</f>
        <v/>
      </c>
    </row>
    <row r="465">
      <c r="A465" s="9" t="inlineStr">
        <is>
          <t>WDAY</t>
        </is>
      </c>
      <c r="D465" s="7" t="n"/>
      <c r="E465" s="30">
        <f>E264-D264</f>
        <v/>
      </c>
      <c r="F465" s="30">
        <f>F264-E264</f>
        <v/>
      </c>
      <c r="G465" s="30">
        <f>G264-F264</f>
        <v/>
      </c>
      <c r="H465" s="8" t="n"/>
      <c r="I465" s="29">
        <f>I264-G264</f>
        <v/>
      </c>
      <c r="J465" s="30">
        <f>J264-I264</f>
        <v/>
      </c>
      <c r="K465" s="30">
        <f>K264-J264</f>
        <v/>
      </c>
      <c r="L465" s="30">
        <f>L264-K264</f>
        <v/>
      </c>
      <c r="M465" s="8" t="n"/>
      <c r="N465" s="29">
        <f>N264-L264</f>
        <v/>
      </c>
      <c r="O465" s="30">
        <f>O264-N264</f>
        <v/>
      </c>
      <c r="P465" s="30">
        <f>P264-O264</f>
        <v/>
      </c>
      <c r="Q465" s="30">
        <f>Q264-P264</f>
        <v/>
      </c>
      <c r="R465" s="8" t="n"/>
      <c r="S465" s="29">
        <f>S264-Q264</f>
        <v/>
      </c>
      <c r="T465" s="30">
        <f>T264-S264</f>
        <v/>
      </c>
      <c r="U465" s="30">
        <f>U264-T264</f>
        <v/>
      </c>
      <c r="V465" s="30">
        <f>V264-U264</f>
        <v/>
      </c>
      <c r="W465" s="8" t="n"/>
      <c r="X465" s="29">
        <f>X264-V264</f>
        <v/>
      </c>
    </row>
    <row r="466">
      <c r="A466" s="9" t="inlineStr">
        <is>
          <t>SNPS</t>
        </is>
      </c>
      <c r="D466" s="7" t="n"/>
      <c r="E466" s="30">
        <f>E265-D265</f>
        <v/>
      </c>
      <c r="F466" s="30">
        <f>F265-E265</f>
        <v/>
      </c>
      <c r="G466" s="30">
        <f>G265-F265</f>
        <v/>
      </c>
      <c r="H466" s="8" t="n"/>
      <c r="I466" s="29">
        <f>I265-G265</f>
        <v/>
      </c>
      <c r="J466" s="30">
        <f>J265-I265</f>
        <v/>
      </c>
      <c r="K466" s="30">
        <f>K265-J265</f>
        <v/>
      </c>
      <c r="L466" s="30">
        <f>L265-K265</f>
        <v/>
      </c>
      <c r="M466" s="8" t="n"/>
      <c r="N466" s="29">
        <f>N265-L265</f>
        <v/>
      </c>
      <c r="O466" s="30">
        <f>O265-N265</f>
        <v/>
      </c>
      <c r="P466" s="30">
        <f>P265-O265</f>
        <v/>
      </c>
      <c r="Q466" s="30">
        <f>Q265-P265</f>
        <v/>
      </c>
      <c r="R466" s="8" t="n"/>
      <c r="S466" s="29">
        <f>S265-Q265</f>
        <v/>
      </c>
      <c r="T466" s="30">
        <f>T265-S265</f>
        <v/>
      </c>
      <c r="U466" s="30">
        <f>U265-T265</f>
        <v/>
      </c>
      <c r="V466" s="30">
        <f>V265-U265</f>
        <v/>
      </c>
      <c r="W466" s="8" t="n"/>
      <c r="X466" s="29">
        <f>X265-V265</f>
        <v/>
      </c>
    </row>
    <row r="467">
      <c r="A467" s="9" t="inlineStr">
        <is>
          <t>ROP</t>
        </is>
      </c>
      <c r="D467" s="7" t="n"/>
      <c r="E467" s="30">
        <f>E266-D266</f>
        <v/>
      </c>
      <c r="F467" s="30">
        <f>F266-E266</f>
        <v/>
      </c>
      <c r="G467" s="30">
        <f>G266-F266</f>
        <v/>
      </c>
      <c r="H467" s="8" t="n"/>
      <c r="I467" s="29">
        <f>I266-G266</f>
        <v/>
      </c>
      <c r="J467" s="30">
        <f>J266-I266</f>
        <v/>
      </c>
      <c r="K467" s="30">
        <f>K266-J266</f>
        <v/>
      </c>
      <c r="L467" s="30">
        <f>L266-K266</f>
        <v/>
      </c>
      <c r="M467" s="8" t="n"/>
      <c r="N467" s="29">
        <f>N266-L266</f>
        <v/>
      </c>
      <c r="O467" s="30">
        <f>O266-N266</f>
        <v/>
      </c>
      <c r="P467" s="30">
        <f>P266-O266</f>
        <v/>
      </c>
      <c r="Q467" s="30">
        <f>Q266-P266</f>
        <v/>
      </c>
      <c r="R467" s="8" t="n"/>
      <c r="S467" s="29">
        <f>S266-Q266</f>
        <v/>
      </c>
      <c r="T467" s="30">
        <f>T266-S266</f>
        <v/>
      </c>
      <c r="U467" s="30">
        <f>U266-T266</f>
        <v/>
      </c>
      <c r="V467" s="30">
        <f>V266-U266</f>
        <v/>
      </c>
      <c r="W467" s="8" t="n"/>
      <c r="X467" s="29">
        <f>X266-V266</f>
        <v/>
      </c>
    </row>
    <row r="468">
      <c r="A468" s="9" t="inlineStr">
        <is>
          <t>ADSK</t>
        </is>
      </c>
      <c r="D468" s="7" t="n"/>
      <c r="E468" s="30">
        <f>E267-D267</f>
        <v/>
      </c>
      <c r="F468" s="30">
        <f>F267-E267</f>
        <v/>
      </c>
      <c r="G468" s="30">
        <f>G267-F267</f>
        <v/>
      </c>
      <c r="H468" s="8" t="n"/>
      <c r="I468" s="29">
        <f>I267-G267</f>
        <v/>
      </c>
      <c r="J468" s="30">
        <f>J267-I267</f>
        <v/>
      </c>
      <c r="K468" s="30">
        <f>K267-J267</f>
        <v/>
      </c>
      <c r="L468" s="30">
        <f>L267-K267</f>
        <v/>
      </c>
      <c r="M468" s="8" t="n"/>
      <c r="N468" s="29">
        <f>N267-L267</f>
        <v/>
      </c>
      <c r="O468" s="30">
        <f>O267-N267</f>
        <v/>
      </c>
      <c r="P468" s="30">
        <f>P267-O267</f>
        <v/>
      </c>
      <c r="Q468" s="30">
        <f>Q267-P267</f>
        <v/>
      </c>
      <c r="R468" s="8" t="n"/>
      <c r="S468" s="29">
        <f>S267-Q267</f>
        <v/>
      </c>
      <c r="T468" s="30">
        <f>T267-S267</f>
        <v/>
      </c>
      <c r="U468" s="30">
        <f>U267-T267</f>
        <v/>
      </c>
      <c r="V468" s="30">
        <f>V267-U267</f>
        <v/>
      </c>
      <c r="W468" s="8" t="n"/>
      <c r="X468" s="29">
        <f>X267-V267</f>
        <v/>
      </c>
    </row>
    <row r="469">
      <c r="A469" s="9" t="inlineStr">
        <is>
          <t>FTNT</t>
        </is>
      </c>
      <c r="D469" s="7" t="n"/>
      <c r="E469" s="30">
        <f>E268-D268</f>
        <v/>
      </c>
      <c r="F469" s="30">
        <f>F268-E268</f>
        <v/>
      </c>
      <c r="G469" s="30">
        <f>G268-F268</f>
        <v/>
      </c>
      <c r="H469" s="8" t="n"/>
      <c r="I469" s="29">
        <f>I268-G268</f>
        <v/>
      </c>
      <c r="J469" s="30">
        <f>J268-I268</f>
        <v/>
      </c>
      <c r="K469" s="30">
        <f>K268-J268</f>
        <v/>
      </c>
      <c r="L469" s="30">
        <f>L268-K268</f>
        <v/>
      </c>
      <c r="M469" s="8" t="n"/>
      <c r="N469" s="29">
        <f>N268-L268</f>
        <v/>
      </c>
      <c r="O469" s="30">
        <f>O268-N268</f>
        <v/>
      </c>
      <c r="P469" s="30">
        <f>P268-O268</f>
        <v/>
      </c>
      <c r="Q469" s="30">
        <f>Q268-P268</f>
        <v/>
      </c>
      <c r="R469" s="8" t="n"/>
      <c r="S469" s="29">
        <f>S268-Q268</f>
        <v/>
      </c>
      <c r="T469" s="30">
        <f>T268-S268</f>
        <v/>
      </c>
      <c r="U469" s="30">
        <f>U268-T268</f>
        <v/>
      </c>
      <c r="V469" s="30">
        <f>V268-U268</f>
        <v/>
      </c>
      <c r="W469" s="8" t="n"/>
      <c r="X469" s="29">
        <f>X268-V268</f>
        <v/>
      </c>
    </row>
    <row r="470">
      <c r="A470" s="9" t="inlineStr">
        <is>
          <t>TOST</t>
        </is>
      </c>
      <c r="D470" s="7" t="n"/>
      <c r="E470" s="30">
        <f>E269-D269</f>
        <v/>
      </c>
      <c r="F470" s="30">
        <f>F269-E269</f>
        <v/>
      </c>
      <c r="G470" s="30">
        <f>G269-F269</f>
        <v/>
      </c>
      <c r="H470" s="8" t="n"/>
      <c r="I470" s="29">
        <f>I269-G269</f>
        <v/>
      </c>
      <c r="J470" s="30">
        <f>J269-I269</f>
        <v/>
      </c>
      <c r="K470" s="30">
        <f>K269-J269</f>
        <v/>
      </c>
      <c r="L470" s="30">
        <f>L269-K269</f>
        <v/>
      </c>
      <c r="M470" s="8" t="n"/>
      <c r="N470" s="29">
        <f>N269-L269</f>
        <v/>
      </c>
      <c r="O470" s="30">
        <f>O269-N269</f>
        <v/>
      </c>
      <c r="P470" s="30">
        <f>P269-O269</f>
        <v/>
      </c>
      <c r="Q470" s="30">
        <f>Q269-P269</f>
        <v/>
      </c>
      <c r="R470" s="8" t="n"/>
      <c r="S470" s="29">
        <f>S269-Q269</f>
        <v/>
      </c>
      <c r="T470" s="30">
        <f>T269-S269</f>
        <v/>
      </c>
      <c r="U470" s="30">
        <f>U269-T269</f>
        <v/>
      </c>
      <c r="V470" s="30">
        <f>V269-U269</f>
        <v/>
      </c>
      <c r="W470" s="8" t="n"/>
      <c r="X470" s="29">
        <f>X269-V269</f>
        <v/>
      </c>
    </row>
    <row r="471">
      <c r="A471" s="9" t="inlineStr">
        <is>
          <t>TEAM</t>
        </is>
      </c>
      <c r="D471" s="7" t="n"/>
      <c r="E471" s="30">
        <f>E270-D270</f>
        <v/>
      </c>
      <c r="F471" s="30">
        <f>F270-E270</f>
        <v/>
      </c>
      <c r="G471" s="30">
        <f>G270-F270</f>
        <v/>
      </c>
      <c r="H471" s="8" t="n"/>
      <c r="I471" s="29">
        <f>I270-G270</f>
        <v/>
      </c>
      <c r="J471" s="30">
        <f>J270-I270</f>
        <v/>
      </c>
      <c r="K471" s="30">
        <f>K270-J270</f>
        <v/>
      </c>
      <c r="L471" s="30">
        <f>L270-K270</f>
        <v/>
      </c>
      <c r="M471" s="8" t="n"/>
      <c r="N471" s="29">
        <f>N270-L270</f>
        <v/>
      </c>
      <c r="O471" s="30">
        <f>O270-N270</f>
        <v/>
      </c>
      <c r="P471" s="30">
        <f>P270-O270</f>
        <v/>
      </c>
      <c r="Q471" s="30">
        <f>Q270-P270</f>
        <v/>
      </c>
      <c r="R471" s="8" t="n"/>
      <c r="S471" s="29">
        <f>S270-Q270</f>
        <v/>
      </c>
      <c r="T471" s="30">
        <f>T270-S270</f>
        <v/>
      </c>
      <c r="U471" s="30">
        <f>U270-T270</f>
        <v/>
      </c>
      <c r="V471" s="30">
        <f>V270-U270</f>
        <v/>
      </c>
      <c r="W471" s="8" t="n"/>
      <c r="X471" s="29">
        <f>X270-V270</f>
        <v/>
      </c>
    </row>
    <row r="472">
      <c r="A472" s="9" t="inlineStr">
        <is>
          <t>APP</t>
        </is>
      </c>
      <c r="D472" s="7" t="n"/>
      <c r="E472" s="30">
        <f>E271-D271</f>
        <v/>
      </c>
      <c r="F472" s="30">
        <f>F271-E271</f>
        <v/>
      </c>
      <c r="G472" s="30">
        <f>G271-F271</f>
        <v/>
      </c>
      <c r="H472" s="8" t="n"/>
      <c r="I472" s="29">
        <f>I271-G271</f>
        <v/>
      </c>
      <c r="J472" s="30">
        <f>J271-I271</f>
        <v/>
      </c>
      <c r="K472" s="30">
        <f>K271-J271</f>
        <v/>
      </c>
      <c r="L472" s="30">
        <f>L271-K271</f>
        <v/>
      </c>
      <c r="M472" s="8" t="n"/>
      <c r="N472" s="29">
        <f>N271-L271</f>
        <v/>
      </c>
      <c r="O472" s="30">
        <f>O271-N271</f>
        <v/>
      </c>
      <c r="P472" s="30">
        <f>P271-O271</f>
        <v/>
      </c>
      <c r="Q472" s="30">
        <f>Q271-P271</f>
        <v/>
      </c>
      <c r="R472" s="8" t="n"/>
      <c r="S472" s="29">
        <f>S271-Q271</f>
        <v/>
      </c>
      <c r="T472" s="30">
        <f>T271-S271</f>
        <v/>
      </c>
      <c r="U472" s="30">
        <f>U271-T271</f>
        <v/>
      </c>
      <c r="V472" s="30">
        <f>V271-U271</f>
        <v/>
      </c>
      <c r="W472" s="8" t="n"/>
      <c r="X472" s="29">
        <f>X271-V271</f>
        <v/>
      </c>
    </row>
    <row r="473">
      <c r="A473" s="9" t="inlineStr">
        <is>
          <t>CDNS</t>
        </is>
      </c>
      <c r="D473" s="7" t="n"/>
      <c r="E473" s="30">
        <f>E272-D272</f>
        <v/>
      </c>
      <c r="F473" s="30">
        <f>F272-E272</f>
        <v/>
      </c>
      <c r="G473" s="30">
        <f>G272-F272</f>
        <v/>
      </c>
      <c r="H473" s="8" t="n"/>
      <c r="I473" s="29">
        <f>I272-G272</f>
        <v/>
      </c>
      <c r="J473" s="30">
        <f>J272-I272</f>
        <v/>
      </c>
      <c r="K473" s="30">
        <f>K272-J272</f>
        <v/>
      </c>
      <c r="L473" s="30">
        <f>L272-K272</f>
        <v/>
      </c>
      <c r="M473" s="8" t="n"/>
      <c r="N473" s="29">
        <f>N272-L272</f>
        <v/>
      </c>
      <c r="O473" s="30">
        <f>O272-N272</f>
        <v/>
      </c>
      <c r="P473" s="30">
        <f>P272-O272</f>
        <v/>
      </c>
      <c r="Q473" s="30">
        <f>Q272-P272</f>
        <v/>
      </c>
      <c r="R473" s="8" t="n"/>
      <c r="S473" s="29">
        <f>S272-Q272</f>
        <v/>
      </c>
      <c r="T473" s="30">
        <f>T272-S272</f>
        <v/>
      </c>
      <c r="U473" s="30">
        <f>U272-T272</f>
        <v/>
      </c>
      <c r="V473" s="30">
        <f>V272-U272</f>
        <v/>
      </c>
      <c r="W473" s="8" t="n"/>
      <c r="X473" s="29">
        <f>X272-V272</f>
        <v/>
      </c>
    </row>
    <row r="474">
      <c r="A474" s="9" t="inlineStr">
        <is>
          <t>CRWD</t>
        </is>
      </c>
      <c r="D474" s="7" t="n"/>
      <c r="E474" s="30">
        <f>E273-D273</f>
        <v/>
      </c>
      <c r="F474" s="30">
        <f>F273-E273</f>
        <v/>
      </c>
      <c r="G474" s="30">
        <f>G273-F273</f>
        <v/>
      </c>
      <c r="H474" s="8" t="n"/>
      <c r="I474" s="29">
        <f>I273-G273</f>
        <v/>
      </c>
      <c r="J474" s="30">
        <f>J273-I273</f>
        <v/>
      </c>
      <c r="K474" s="30">
        <f>K273-J273</f>
        <v/>
      </c>
      <c r="L474" s="30">
        <f>L273-K273</f>
        <v/>
      </c>
      <c r="M474" s="8" t="n"/>
      <c r="N474" s="29">
        <f>N273-L273</f>
        <v/>
      </c>
      <c r="O474" s="30">
        <f>O273-N273</f>
        <v/>
      </c>
      <c r="P474" s="30">
        <f>P273-O273</f>
        <v/>
      </c>
      <c r="Q474" s="30">
        <f>Q273-P273</f>
        <v/>
      </c>
      <c r="R474" s="8" t="n"/>
      <c r="S474" s="29">
        <f>S273-Q273</f>
        <v/>
      </c>
      <c r="T474" s="30">
        <f>T273-S273</f>
        <v/>
      </c>
      <c r="U474" s="30">
        <f>U273-T273</f>
        <v/>
      </c>
      <c r="V474" s="30">
        <f>V273-U273</f>
        <v/>
      </c>
      <c r="W474" s="8" t="n"/>
      <c r="X474" s="29">
        <f>X273-V273</f>
        <v/>
      </c>
    </row>
    <row r="475">
      <c r="A475" s="9" t="inlineStr">
        <is>
          <t>SNOW</t>
        </is>
      </c>
      <c r="D475" s="7" t="n"/>
      <c r="E475" s="30">
        <f>E274-D274</f>
        <v/>
      </c>
      <c r="F475" s="30">
        <f>F274-E274</f>
        <v/>
      </c>
      <c r="G475" s="30">
        <f>G274-F274</f>
        <v/>
      </c>
      <c r="H475" s="8" t="n"/>
      <c r="I475" s="29">
        <f>I274-G274</f>
        <v/>
      </c>
      <c r="J475" s="30">
        <f>J274-I274</f>
        <v/>
      </c>
      <c r="K475" s="30">
        <f>K274-J274</f>
        <v/>
      </c>
      <c r="L475" s="30">
        <f>L274-K274</f>
        <v/>
      </c>
      <c r="M475" s="8" t="n"/>
      <c r="N475" s="29">
        <f>N274-L274</f>
        <v/>
      </c>
      <c r="O475" s="30">
        <f>O274-N274</f>
        <v/>
      </c>
      <c r="P475" s="30">
        <f>P274-O274</f>
        <v/>
      </c>
      <c r="Q475" s="30">
        <f>Q274-P274</f>
        <v/>
      </c>
      <c r="R475" s="8" t="n"/>
      <c r="S475" s="29">
        <f>S274-Q274</f>
        <v/>
      </c>
      <c r="T475" s="30">
        <f>T274-S274</f>
        <v/>
      </c>
      <c r="U475" s="30">
        <f>U274-T274</f>
        <v/>
      </c>
      <c r="V475" s="30">
        <f>V274-U274</f>
        <v/>
      </c>
      <c r="W475" s="8" t="n"/>
      <c r="X475" s="29">
        <f>X274-V274</f>
        <v/>
      </c>
    </row>
    <row r="476">
      <c r="A476" s="9" t="inlineStr">
        <is>
          <t>PLTR</t>
        </is>
      </c>
      <c r="D476" s="7" t="n"/>
      <c r="E476" s="30">
        <f>E275-D275</f>
        <v/>
      </c>
      <c r="F476" s="30">
        <f>F275-E275</f>
        <v/>
      </c>
      <c r="G476" s="30">
        <f>G275-F275</f>
        <v/>
      </c>
      <c r="H476" s="8" t="n"/>
      <c r="I476" s="29">
        <f>I275-G275</f>
        <v/>
      </c>
      <c r="J476" s="30">
        <f>J275-I275</f>
        <v/>
      </c>
      <c r="K476" s="30">
        <f>K275-J275</f>
        <v/>
      </c>
      <c r="L476" s="30">
        <f>L275-K275</f>
        <v/>
      </c>
      <c r="M476" s="8" t="n"/>
      <c r="N476" s="29">
        <f>N275-L275</f>
        <v/>
      </c>
      <c r="O476" s="30">
        <f>O275-N275</f>
        <v/>
      </c>
      <c r="P476" s="30">
        <f>P275-O275</f>
        <v/>
      </c>
      <c r="Q476" s="30">
        <f>Q275-P275</f>
        <v/>
      </c>
      <c r="R476" s="8" t="n"/>
      <c r="S476" s="29">
        <f>S275-Q275</f>
        <v/>
      </c>
      <c r="T476" s="30">
        <f>T275-S275</f>
        <v/>
      </c>
      <c r="U476" s="30">
        <f>U275-T275</f>
        <v/>
      </c>
      <c r="V476" s="30">
        <f>V275-U275</f>
        <v/>
      </c>
      <c r="W476" s="8" t="n"/>
      <c r="X476" s="29">
        <f>X275-V275</f>
        <v/>
      </c>
    </row>
    <row r="477">
      <c r="A477" s="9" t="inlineStr">
        <is>
          <t>DDOG</t>
        </is>
      </c>
      <c r="D477" s="7" t="n"/>
      <c r="E477" s="30">
        <f>E276-D276</f>
        <v/>
      </c>
      <c r="F477" s="30">
        <f>F276-E276</f>
        <v/>
      </c>
      <c r="G477" s="30">
        <f>G276-F276</f>
        <v/>
      </c>
      <c r="H477" s="8" t="n"/>
      <c r="I477" s="29">
        <f>I276-G276</f>
        <v/>
      </c>
      <c r="J477" s="30">
        <f>J276-I276</f>
        <v/>
      </c>
      <c r="K477" s="30">
        <f>K276-J276</f>
        <v/>
      </c>
      <c r="L477" s="30">
        <f>L276-K276</f>
        <v/>
      </c>
      <c r="M477" s="8" t="n"/>
      <c r="N477" s="29">
        <f>N276-L276</f>
        <v/>
      </c>
      <c r="O477" s="30">
        <f>O276-N276</f>
        <v/>
      </c>
      <c r="P477" s="30">
        <f>P276-O276</f>
        <v/>
      </c>
      <c r="Q477" s="30">
        <f>Q276-P276</f>
        <v/>
      </c>
      <c r="R477" s="8" t="n"/>
      <c r="S477" s="29">
        <f>S276-Q276</f>
        <v/>
      </c>
      <c r="T477" s="30">
        <f>T276-S276</f>
        <v/>
      </c>
      <c r="U477" s="30">
        <f>U276-T276</f>
        <v/>
      </c>
      <c r="V477" s="30">
        <f>V276-U276</f>
        <v/>
      </c>
      <c r="W477" s="8" t="n"/>
      <c r="X477" s="29">
        <f>X276-V276</f>
        <v/>
      </c>
    </row>
    <row r="478">
      <c r="A478" s="9" t="inlineStr">
        <is>
          <t>VEEV</t>
        </is>
      </c>
      <c r="D478" s="7" t="n"/>
      <c r="E478" s="30">
        <f>E277-D277</f>
        <v/>
      </c>
      <c r="F478" s="30">
        <f>F277-E277</f>
        <v/>
      </c>
      <c r="G478" s="30">
        <f>G277-F277</f>
        <v/>
      </c>
      <c r="H478" s="8" t="n"/>
      <c r="I478" s="29">
        <f>I277-G277</f>
        <v/>
      </c>
      <c r="J478" s="30">
        <f>J277-I277</f>
        <v/>
      </c>
      <c r="K478" s="30">
        <f>K277-J277</f>
        <v/>
      </c>
      <c r="L478" s="30">
        <f>L277-K277</f>
        <v/>
      </c>
      <c r="M478" s="8" t="n"/>
      <c r="N478" s="29">
        <f>N277-L277</f>
        <v/>
      </c>
      <c r="O478" s="30">
        <f>O277-N277</f>
        <v/>
      </c>
      <c r="P478" s="30">
        <f>P277-O277</f>
        <v/>
      </c>
      <c r="Q478" s="30">
        <f>Q277-P277</f>
        <v/>
      </c>
      <c r="R478" s="8" t="n"/>
      <c r="S478" s="29">
        <f>S277-Q277</f>
        <v/>
      </c>
      <c r="T478" s="30">
        <f>T277-S277</f>
        <v/>
      </c>
      <c r="U478" s="30">
        <f>U277-T277</f>
        <v/>
      </c>
      <c r="V478" s="30">
        <f>V277-U277</f>
        <v/>
      </c>
      <c r="W478" s="8" t="n"/>
      <c r="X478" s="29">
        <f>X277-V277</f>
        <v/>
      </c>
    </row>
    <row r="479">
      <c r="A479" s="9" t="inlineStr">
        <is>
          <t>HUBS</t>
        </is>
      </c>
      <c r="D479" s="7" t="n"/>
      <c r="E479" s="30">
        <f>E278-D278</f>
        <v/>
      </c>
      <c r="F479" s="30">
        <f>F278-E278</f>
        <v/>
      </c>
      <c r="G479" s="30">
        <f>G278-F278</f>
        <v/>
      </c>
      <c r="H479" s="8" t="n"/>
      <c r="I479" s="29">
        <f>I278-G278</f>
        <v/>
      </c>
      <c r="J479" s="30">
        <f>J278-I278</f>
        <v/>
      </c>
      <c r="K479" s="30">
        <f>K278-J278</f>
        <v/>
      </c>
      <c r="L479" s="30">
        <f>L278-K278</f>
        <v/>
      </c>
      <c r="M479" s="8" t="n"/>
      <c r="N479" s="29">
        <f>N278-L278</f>
        <v/>
      </c>
      <c r="O479" s="30">
        <f>O278-N278</f>
        <v/>
      </c>
      <c r="P479" s="30">
        <f>P278-O278</f>
        <v/>
      </c>
      <c r="Q479" s="30">
        <f>Q278-P278</f>
        <v/>
      </c>
      <c r="R479" s="8" t="n"/>
      <c r="S479" s="29">
        <f>S278-Q278</f>
        <v/>
      </c>
      <c r="T479" s="30">
        <f>T278-S278</f>
        <v/>
      </c>
      <c r="U479" s="30">
        <f>U278-T278</f>
        <v/>
      </c>
      <c r="V479" s="30">
        <f>V278-U278</f>
        <v/>
      </c>
      <c r="W479" s="8" t="n"/>
      <c r="X479" s="29">
        <f>X278-V278</f>
        <v/>
      </c>
    </row>
    <row r="480">
      <c r="A480" s="9" t="inlineStr">
        <is>
          <t>ZS</t>
        </is>
      </c>
      <c r="D480" s="7" t="n"/>
      <c r="E480" s="30">
        <f>E279-D279</f>
        <v/>
      </c>
      <c r="F480" s="30">
        <f>F279-E279</f>
        <v/>
      </c>
      <c r="G480" s="30">
        <f>G279-F279</f>
        <v/>
      </c>
      <c r="H480" s="8" t="n"/>
      <c r="I480" s="29">
        <f>I279-G279</f>
        <v/>
      </c>
      <c r="J480" s="30">
        <f>J279-I279</f>
        <v/>
      </c>
      <c r="K480" s="30">
        <f>K279-J279</f>
        <v/>
      </c>
      <c r="L480" s="30">
        <f>L279-K279</f>
        <v/>
      </c>
      <c r="M480" s="8" t="n"/>
      <c r="N480" s="29">
        <f>N279-L279</f>
        <v/>
      </c>
      <c r="O480" s="30">
        <f>O279-N279</f>
        <v/>
      </c>
      <c r="P480" s="30">
        <f>P279-O279</f>
        <v/>
      </c>
      <c r="Q480" s="30">
        <f>Q279-P279</f>
        <v/>
      </c>
      <c r="R480" s="8" t="n"/>
      <c r="S480" s="29">
        <f>S279-Q279</f>
        <v/>
      </c>
      <c r="T480" s="30">
        <f>T279-S279</f>
        <v/>
      </c>
      <c r="U480" s="30">
        <f>U279-T279</f>
        <v/>
      </c>
      <c r="V480" s="30">
        <f>V279-U279</f>
        <v/>
      </c>
      <c r="W480" s="8" t="n"/>
      <c r="X480" s="29">
        <f>X279-V279</f>
        <v/>
      </c>
    </row>
    <row r="481">
      <c r="A481" s="9" t="inlineStr">
        <is>
          <t>OKTA</t>
        </is>
      </c>
      <c r="D481" s="7" t="n"/>
      <c r="E481" s="30">
        <f>E280-D280</f>
        <v/>
      </c>
      <c r="F481" s="30">
        <f>F280-E280</f>
        <v/>
      </c>
      <c r="G481" s="30">
        <f>G280-F280</f>
        <v/>
      </c>
      <c r="H481" s="8" t="n"/>
      <c r="I481" s="29">
        <f>I280-G280</f>
        <v/>
      </c>
      <c r="J481" s="30">
        <f>J280-I280</f>
        <v/>
      </c>
      <c r="K481" s="30">
        <f>K280-J280</f>
        <v/>
      </c>
      <c r="L481" s="30">
        <f>L280-K280</f>
        <v/>
      </c>
      <c r="M481" s="8" t="n"/>
      <c r="N481" s="29">
        <f>N280-L280</f>
        <v/>
      </c>
      <c r="O481" s="30">
        <f>O280-N280</f>
        <v/>
      </c>
      <c r="P481" s="30">
        <f>P280-O280</f>
        <v/>
      </c>
      <c r="Q481" s="30">
        <f>Q280-P280</f>
        <v/>
      </c>
      <c r="R481" s="8" t="n"/>
      <c r="S481" s="29">
        <f>S280-Q280</f>
        <v/>
      </c>
      <c r="T481" s="30">
        <f>T280-S280</f>
        <v/>
      </c>
      <c r="U481" s="30">
        <f>U280-T280</f>
        <v/>
      </c>
      <c r="V481" s="30">
        <f>V280-U280</f>
        <v/>
      </c>
      <c r="W481" s="8" t="n"/>
      <c r="X481" s="29">
        <f>X280-V280</f>
        <v/>
      </c>
    </row>
    <row r="482">
      <c r="A482" s="9" t="inlineStr">
        <is>
          <t>TTD</t>
        </is>
      </c>
      <c r="D482" s="7" t="n"/>
      <c r="E482" s="30">
        <f>E281-D281</f>
        <v/>
      </c>
      <c r="F482" s="30">
        <f>F281-E281</f>
        <v/>
      </c>
      <c r="G482" s="30">
        <f>G281-F281</f>
        <v/>
      </c>
      <c r="H482" s="8" t="n"/>
      <c r="I482" s="29">
        <f>I281-G281</f>
        <v/>
      </c>
      <c r="J482" s="30">
        <f>J281-I281</f>
        <v/>
      </c>
      <c r="K482" s="30">
        <f>K281-J281</f>
        <v/>
      </c>
      <c r="L482" s="30">
        <f>L281-K281</f>
        <v/>
      </c>
      <c r="M482" s="8" t="n"/>
      <c r="N482" s="29">
        <f>N281-L281</f>
        <v/>
      </c>
      <c r="O482" s="30">
        <f>O281-N281</f>
        <v/>
      </c>
      <c r="P482" s="30">
        <f>P281-O281</f>
        <v/>
      </c>
      <c r="Q482" s="30">
        <f>Q281-P281</f>
        <v/>
      </c>
      <c r="R482" s="8" t="n"/>
      <c r="S482" s="29">
        <f>S281-Q281</f>
        <v/>
      </c>
      <c r="T482" s="30">
        <f>T281-S281</f>
        <v/>
      </c>
      <c r="U482" s="30">
        <f>U281-T281</f>
        <v/>
      </c>
      <c r="V482" s="30">
        <f>V281-U281</f>
        <v/>
      </c>
      <c r="W482" s="8" t="n"/>
      <c r="X482" s="29">
        <f>X281-V281</f>
        <v/>
      </c>
    </row>
    <row r="483">
      <c r="A483" s="9" t="inlineStr">
        <is>
          <t>MDB</t>
        </is>
      </c>
      <c r="D483" s="7" t="n"/>
      <c r="E483" s="30">
        <f>E282-D282</f>
        <v/>
      </c>
      <c r="F483" s="30">
        <f>F282-E282</f>
        <v/>
      </c>
      <c r="G483" s="30">
        <f>G282-F282</f>
        <v/>
      </c>
      <c r="H483" s="8" t="n"/>
      <c r="I483" s="29">
        <f>I282-G282</f>
        <v/>
      </c>
      <c r="J483" s="30">
        <f>J282-I282</f>
        <v/>
      </c>
      <c r="K483" s="30">
        <f>K282-J282</f>
        <v/>
      </c>
      <c r="L483" s="30">
        <f>L282-K282</f>
        <v/>
      </c>
      <c r="M483" s="8" t="n"/>
      <c r="N483" s="29">
        <f>N282-L282</f>
        <v/>
      </c>
      <c r="O483" s="30">
        <f>O282-N282</f>
        <v/>
      </c>
      <c r="P483" s="30">
        <f>P282-O282</f>
        <v/>
      </c>
      <c r="Q483" s="30">
        <f>Q282-P282</f>
        <v/>
      </c>
      <c r="R483" s="8" t="n"/>
      <c r="S483" s="29">
        <f>S282-Q282</f>
        <v/>
      </c>
      <c r="T483" s="30">
        <f>T282-S282</f>
        <v/>
      </c>
      <c r="U483" s="30">
        <f>U282-T282</f>
        <v/>
      </c>
      <c r="V483" s="30">
        <f>V282-U282</f>
        <v/>
      </c>
      <c r="W483" s="8" t="n"/>
      <c r="X483" s="29">
        <f>X282-V282</f>
        <v/>
      </c>
    </row>
    <row r="484">
      <c r="A484" s="9" t="inlineStr">
        <is>
          <t>PAYC</t>
        </is>
      </c>
      <c r="D484" s="7" t="n"/>
      <c r="E484" s="30">
        <f>E283-D283</f>
        <v/>
      </c>
      <c r="F484" s="30">
        <f>F283-E283</f>
        <v/>
      </c>
      <c r="G484" s="30">
        <f>G283-F283</f>
        <v/>
      </c>
      <c r="H484" s="8" t="n"/>
      <c r="I484" s="29">
        <f>I283-G283</f>
        <v/>
      </c>
      <c r="J484" s="30">
        <f>J283-I283</f>
        <v/>
      </c>
      <c r="K484" s="30">
        <f>K283-J283</f>
        <v/>
      </c>
      <c r="L484" s="30">
        <f>L283-K283</f>
        <v/>
      </c>
      <c r="M484" s="8" t="n"/>
      <c r="N484" s="29">
        <f>N283-L283</f>
        <v/>
      </c>
      <c r="O484" s="30">
        <f>O283-N283</f>
        <v/>
      </c>
      <c r="P484" s="30">
        <f>P283-O283</f>
        <v/>
      </c>
      <c r="Q484" s="30">
        <f>Q283-P283</f>
        <v/>
      </c>
      <c r="R484" s="8" t="n"/>
      <c r="S484" s="29">
        <f>S283-Q283</f>
        <v/>
      </c>
      <c r="T484" s="30">
        <f>T283-S283</f>
        <v/>
      </c>
      <c r="U484" s="30">
        <f>U283-T283</f>
        <v/>
      </c>
      <c r="V484" s="30">
        <f>V283-U283</f>
        <v/>
      </c>
      <c r="W484" s="8" t="n"/>
      <c r="X484" s="29">
        <f>X283-V283</f>
        <v/>
      </c>
    </row>
    <row r="485">
      <c r="A485" s="9" t="inlineStr">
        <is>
          <t>DT</t>
        </is>
      </c>
      <c r="D485" s="7" t="n"/>
      <c r="E485" s="30">
        <f>E284-D284</f>
        <v/>
      </c>
      <c r="F485" s="30">
        <f>F284-E284</f>
        <v/>
      </c>
      <c r="G485" s="30">
        <f>G284-F284</f>
        <v/>
      </c>
      <c r="H485" s="8" t="n"/>
      <c r="I485" s="29">
        <f>I284-G284</f>
        <v/>
      </c>
      <c r="J485" s="30">
        <f>J284-I284</f>
        <v/>
      </c>
      <c r="K485" s="30">
        <f>K284-J284</f>
        <v/>
      </c>
      <c r="L485" s="30">
        <f>L284-K284</f>
        <v/>
      </c>
      <c r="M485" s="8" t="n"/>
      <c r="N485" s="29">
        <f>N284-L284</f>
        <v/>
      </c>
      <c r="O485" s="30">
        <f>O284-N284</f>
        <v/>
      </c>
      <c r="P485" s="30">
        <f>P284-O284</f>
        <v/>
      </c>
      <c r="Q485" s="30">
        <f>Q284-P284</f>
        <v/>
      </c>
      <c r="R485" s="8" t="n"/>
      <c r="S485" s="29">
        <f>S284-Q284</f>
        <v/>
      </c>
      <c r="T485" s="30">
        <f>T284-S284</f>
        <v/>
      </c>
      <c r="U485" s="30">
        <f>U284-T284</f>
        <v/>
      </c>
      <c r="V485" s="30">
        <f>V284-U284</f>
        <v/>
      </c>
      <c r="W485" s="8" t="n"/>
      <c r="X485" s="29">
        <f>X284-V284</f>
        <v/>
      </c>
    </row>
    <row r="486">
      <c r="A486" s="9" t="inlineStr">
        <is>
          <t>PCTY</t>
        </is>
      </c>
      <c r="D486" s="7" t="n"/>
      <c r="E486" s="30">
        <f>E285-D285</f>
        <v/>
      </c>
      <c r="F486" s="30">
        <f>F285-E285</f>
        <v/>
      </c>
      <c r="G486" s="30">
        <f>G285-F285</f>
        <v/>
      </c>
      <c r="H486" s="8" t="n"/>
      <c r="I486" s="29">
        <f>I285-G285</f>
        <v/>
      </c>
      <c r="J486" s="30">
        <f>J285-I285</f>
        <v/>
      </c>
      <c r="K486" s="30">
        <f>K285-J285</f>
        <v/>
      </c>
      <c r="L486" s="30">
        <f>L285-K285</f>
        <v/>
      </c>
      <c r="M486" s="8" t="n"/>
      <c r="N486" s="29">
        <f>N285-L285</f>
        <v/>
      </c>
      <c r="O486" s="30">
        <f>O285-N285</f>
        <v/>
      </c>
      <c r="P486" s="30">
        <f>P285-O285</f>
        <v/>
      </c>
      <c r="Q486" s="30">
        <f>Q285-P285</f>
        <v/>
      </c>
      <c r="R486" s="8" t="n"/>
      <c r="S486" s="29">
        <f>S285-Q285</f>
        <v/>
      </c>
      <c r="T486" s="30">
        <f>T285-S285</f>
        <v/>
      </c>
      <c r="U486" s="30">
        <f>U285-T285</f>
        <v/>
      </c>
      <c r="V486" s="30">
        <f>V285-U285</f>
        <v/>
      </c>
      <c r="W486" s="8" t="n"/>
      <c r="X486" s="29">
        <f>X285-V285</f>
        <v/>
      </c>
    </row>
    <row r="487">
      <c r="A487" s="9" t="inlineStr">
        <is>
          <t>ESTC</t>
        </is>
      </c>
      <c r="D487" s="7" t="n"/>
      <c r="E487" s="30">
        <f>E286-D286</f>
        <v/>
      </c>
      <c r="F487" s="30">
        <f>F286-E286</f>
        <v/>
      </c>
      <c r="G487" s="30">
        <f>G286-F286</f>
        <v/>
      </c>
      <c r="H487" s="8" t="n"/>
      <c r="I487" s="29">
        <f>I286-G286</f>
        <v/>
      </c>
      <c r="J487" s="30">
        <f>J286-I286</f>
        <v/>
      </c>
      <c r="K487" s="30">
        <f>K286-J286</f>
        <v/>
      </c>
      <c r="L487" s="30">
        <f>L286-K286</f>
        <v/>
      </c>
      <c r="M487" s="8" t="n"/>
      <c r="N487" s="29">
        <f>N286-L286</f>
        <v/>
      </c>
      <c r="O487" s="30">
        <f>O286-N286</f>
        <v/>
      </c>
      <c r="P487" s="30">
        <f>P286-O286</f>
        <v/>
      </c>
      <c r="Q487" s="30">
        <f>Q286-P286</f>
        <v/>
      </c>
      <c r="R487" s="8" t="n"/>
      <c r="S487" s="29">
        <f>S286-Q286</f>
        <v/>
      </c>
      <c r="T487" s="30">
        <f>T286-S286</f>
        <v/>
      </c>
      <c r="U487" s="30">
        <f>U286-T286</f>
        <v/>
      </c>
      <c r="V487" s="30">
        <f>V286-U286</f>
        <v/>
      </c>
      <c r="W487" s="8" t="n"/>
      <c r="X487" s="29">
        <f>X286-V286</f>
        <v/>
      </c>
    </row>
    <row r="488">
      <c r="A488" s="9" t="inlineStr">
        <is>
          <t>BILL</t>
        </is>
      </c>
      <c r="D488" s="7" t="n"/>
      <c r="E488" s="30">
        <f>E287-D287</f>
        <v/>
      </c>
      <c r="F488" s="30">
        <f>F287-E287</f>
        <v/>
      </c>
      <c r="G488" s="30">
        <f>G287-F287</f>
        <v/>
      </c>
      <c r="H488" s="8" t="n"/>
      <c r="I488" s="29">
        <f>I287-G287</f>
        <v/>
      </c>
      <c r="J488" s="30">
        <f>J287-I287</f>
        <v/>
      </c>
      <c r="K488" s="30">
        <f>K287-J287</f>
        <v/>
      </c>
      <c r="L488" s="30">
        <f>L287-K287</f>
        <v/>
      </c>
      <c r="M488" s="8" t="n"/>
      <c r="N488" s="29">
        <f>N287-L287</f>
        <v/>
      </c>
      <c r="O488" s="30">
        <f>O287-N287</f>
        <v/>
      </c>
      <c r="P488" s="30">
        <f>P287-O287</f>
        <v/>
      </c>
      <c r="Q488" s="30">
        <f>Q287-P287</f>
        <v/>
      </c>
      <c r="R488" s="8" t="n"/>
      <c r="S488" s="29">
        <f>S287-Q287</f>
        <v/>
      </c>
      <c r="T488" s="30">
        <f>T287-S287</f>
        <v/>
      </c>
      <c r="U488" s="30">
        <f>U287-T287</f>
        <v/>
      </c>
      <c r="V488" s="30">
        <f>V287-U287</f>
        <v/>
      </c>
      <c r="W488" s="8" t="n"/>
      <c r="X488" s="29">
        <f>X287-V287</f>
        <v/>
      </c>
    </row>
    <row r="489">
      <c r="A489" s="9" t="inlineStr">
        <is>
          <t>BSY</t>
        </is>
      </c>
      <c r="D489" s="7" t="n"/>
      <c r="E489" s="30">
        <f>E288-D288</f>
        <v/>
      </c>
      <c r="F489" s="30">
        <f>F288-E288</f>
        <v/>
      </c>
      <c r="G489" s="30">
        <f>G288-F288</f>
        <v/>
      </c>
      <c r="H489" s="8" t="n"/>
      <c r="I489" s="29">
        <f>I288-G288</f>
        <v/>
      </c>
      <c r="J489" s="30">
        <f>J288-I288</f>
        <v/>
      </c>
      <c r="K489" s="30">
        <f>K288-J288</f>
        <v/>
      </c>
      <c r="L489" s="30">
        <f>L288-K288</f>
        <v/>
      </c>
      <c r="M489" s="8" t="n"/>
      <c r="N489" s="29">
        <f>N288-L288</f>
        <v/>
      </c>
      <c r="O489" s="30">
        <f>O288-N288</f>
        <v/>
      </c>
      <c r="P489" s="30">
        <f>P288-O288</f>
        <v/>
      </c>
      <c r="Q489" s="30">
        <f>Q288-P288</f>
        <v/>
      </c>
      <c r="R489" s="8" t="n"/>
      <c r="S489" s="29">
        <f>S288-Q288</f>
        <v/>
      </c>
      <c r="T489" s="30">
        <f>T288-S288</f>
        <v/>
      </c>
      <c r="U489" s="30">
        <f>U288-T288</f>
        <v/>
      </c>
      <c r="V489" s="30">
        <f>V288-U288</f>
        <v/>
      </c>
      <c r="W489" s="8" t="n"/>
      <c r="X489" s="29">
        <f>X288-V288</f>
        <v/>
      </c>
    </row>
    <row r="490">
      <c r="A490" s="9" t="inlineStr">
        <is>
          <t>GWRE</t>
        </is>
      </c>
      <c r="D490" s="7" t="n"/>
      <c r="E490" s="30">
        <f>E289-D289</f>
        <v/>
      </c>
      <c r="F490" s="30">
        <f>F289-E289</f>
        <v/>
      </c>
      <c r="G490" s="30">
        <f>G289-F289</f>
        <v/>
      </c>
      <c r="H490" s="8" t="n"/>
      <c r="I490" s="29">
        <f>I289-G289</f>
        <v/>
      </c>
      <c r="J490" s="30">
        <f>J289-I289</f>
        <v/>
      </c>
      <c r="K490" s="30">
        <f>K289-J289</f>
        <v/>
      </c>
      <c r="L490" s="30">
        <f>L289-K289</f>
        <v/>
      </c>
      <c r="M490" s="8" t="n"/>
      <c r="N490" s="29">
        <f>N289-L289</f>
        <v/>
      </c>
      <c r="O490" s="30">
        <f>O289-N289</f>
        <v/>
      </c>
      <c r="P490" s="30">
        <f>P289-O289</f>
        <v/>
      </c>
      <c r="Q490" s="30">
        <f>Q289-P289</f>
        <v/>
      </c>
      <c r="R490" s="8" t="n"/>
      <c r="S490" s="29">
        <f>S289-Q289</f>
        <v/>
      </c>
      <c r="T490" s="30">
        <f>T289-S289</f>
        <v/>
      </c>
      <c r="U490" s="30">
        <f>U289-T289</f>
        <v/>
      </c>
      <c r="V490" s="30">
        <f>V289-U289</f>
        <v/>
      </c>
      <c r="W490" s="8" t="n"/>
      <c r="X490" s="29">
        <f>X289-V289</f>
        <v/>
      </c>
    </row>
    <row r="491">
      <c r="A491" s="9" t="inlineStr">
        <is>
          <t>PCOR</t>
        </is>
      </c>
      <c r="D491" s="7" t="n"/>
      <c r="E491" s="30">
        <f>E290-D290</f>
        <v/>
      </c>
      <c r="F491" s="30">
        <f>F290-E290</f>
        <v/>
      </c>
      <c r="G491" s="30">
        <f>G290-F290</f>
        <v/>
      </c>
      <c r="H491" s="8" t="n"/>
      <c r="I491" s="29">
        <f>I290-G290</f>
        <v/>
      </c>
      <c r="J491" s="30">
        <f>J290-I290</f>
        <v/>
      </c>
      <c r="K491" s="30">
        <f>K290-J290</f>
        <v/>
      </c>
      <c r="L491" s="30">
        <f>L290-K290</f>
        <v/>
      </c>
      <c r="M491" s="8" t="n"/>
      <c r="N491" s="29">
        <f>N290-L290</f>
        <v/>
      </c>
      <c r="O491" s="30">
        <f>O290-N290</f>
        <v/>
      </c>
      <c r="P491" s="30">
        <f>P290-O290</f>
        <v/>
      </c>
      <c r="Q491" s="30">
        <f>Q290-P290</f>
        <v/>
      </c>
      <c r="R491" s="8" t="n"/>
      <c r="S491" s="29">
        <f>S290-Q290</f>
        <v/>
      </c>
      <c r="T491" s="30">
        <f>T290-S290</f>
        <v/>
      </c>
      <c r="U491" s="30">
        <f>U290-T290</f>
        <v/>
      </c>
      <c r="V491" s="30">
        <f>V290-U290</f>
        <v/>
      </c>
      <c r="W491" s="8" t="n"/>
      <c r="X491" s="29">
        <f>X290-V290</f>
        <v/>
      </c>
    </row>
    <row r="492">
      <c r="A492" s="9" t="inlineStr">
        <is>
          <t>ZI</t>
        </is>
      </c>
      <c r="D492" s="7" t="n"/>
      <c r="E492" s="30">
        <f>E291-D291</f>
        <v/>
      </c>
      <c r="F492" s="30">
        <f>F291-E291</f>
        <v/>
      </c>
      <c r="G492" s="30">
        <f>G291-F291</f>
        <v/>
      </c>
      <c r="H492" s="8" t="n"/>
      <c r="I492" s="29">
        <f>I291-G291</f>
        <v/>
      </c>
      <c r="J492" s="30">
        <f>J291-I291</f>
        <v/>
      </c>
      <c r="K492" s="30">
        <f>K291-J291</f>
        <v/>
      </c>
      <c r="L492" s="30">
        <f>L291-K291</f>
        <v/>
      </c>
      <c r="M492" s="8" t="n"/>
      <c r="N492" s="29">
        <f>N291-L291</f>
        <v/>
      </c>
      <c r="O492" s="30">
        <f>O291-N291</f>
        <v/>
      </c>
      <c r="P492" s="30">
        <f>P291-O291</f>
        <v/>
      </c>
      <c r="Q492" s="30">
        <f>Q291-P291</f>
        <v/>
      </c>
      <c r="R492" s="8" t="n"/>
      <c r="S492" s="29">
        <f>S291-Q291</f>
        <v/>
      </c>
      <c r="T492" s="30">
        <f>T291-S291</f>
        <v/>
      </c>
      <c r="U492" s="30">
        <f>U291-T291</f>
        <v/>
      </c>
      <c r="V492" s="30">
        <f>V291-U291</f>
        <v/>
      </c>
      <c r="W492" s="8" t="n"/>
      <c r="X492" s="29">
        <f>X291-V291</f>
        <v/>
      </c>
    </row>
    <row r="493">
      <c r="A493" s="9" t="inlineStr">
        <is>
          <t>KVYO</t>
        </is>
      </c>
      <c r="D493" s="7" t="n"/>
      <c r="E493" s="30">
        <f>E292-D292</f>
        <v/>
      </c>
      <c r="F493" s="30">
        <f>F292-E292</f>
        <v/>
      </c>
      <c r="G493" s="30">
        <f>G292-F292</f>
        <v/>
      </c>
      <c r="H493" s="8" t="n"/>
      <c r="I493" s="29">
        <f>I292-G292</f>
        <v/>
      </c>
      <c r="J493" s="30">
        <f>J292-I292</f>
        <v/>
      </c>
      <c r="K493" s="30">
        <f>K292-J292</f>
        <v/>
      </c>
      <c r="L493" s="30">
        <f>L292-K292</f>
        <v/>
      </c>
      <c r="M493" s="8" t="n"/>
      <c r="N493" s="29">
        <f>N292-L292</f>
        <v/>
      </c>
      <c r="O493" s="30">
        <f>O292-N292</f>
        <v/>
      </c>
      <c r="P493" s="30">
        <f>P292-O292</f>
        <v/>
      </c>
      <c r="Q493" s="30">
        <f>Q292-P292</f>
        <v/>
      </c>
      <c r="R493" s="8" t="n"/>
      <c r="S493" s="29">
        <f>S292-Q292</f>
        <v/>
      </c>
      <c r="T493" s="30">
        <f>T292-S292</f>
        <v/>
      </c>
      <c r="U493" s="30">
        <f>U292-T292</f>
        <v/>
      </c>
      <c r="V493" s="30">
        <f>V292-U292</f>
        <v/>
      </c>
      <c r="W493" s="8" t="n"/>
      <c r="X493" s="29">
        <f>X292-V292</f>
        <v/>
      </c>
    </row>
    <row r="494">
      <c r="A494" s="9" t="inlineStr">
        <is>
          <t>MNDY</t>
        </is>
      </c>
      <c r="D494" s="7" t="n"/>
      <c r="E494" s="30">
        <f>E293-D293</f>
        <v/>
      </c>
      <c r="F494" s="30">
        <f>F293-E293</f>
        <v/>
      </c>
      <c r="G494" s="30">
        <f>G293-F293</f>
        <v/>
      </c>
      <c r="H494" s="8" t="n"/>
      <c r="I494" s="29">
        <f>I293-G293</f>
        <v/>
      </c>
      <c r="J494" s="30">
        <f>J293-I293</f>
        <v/>
      </c>
      <c r="K494" s="30">
        <f>K293-J293</f>
        <v/>
      </c>
      <c r="L494" s="30">
        <f>L293-K293</f>
        <v/>
      </c>
      <c r="M494" s="8" t="n"/>
      <c r="N494" s="29">
        <f>N293-L293</f>
        <v/>
      </c>
      <c r="O494" s="30">
        <f>O293-N293</f>
        <v/>
      </c>
      <c r="P494" s="30">
        <f>P293-O293</f>
        <v/>
      </c>
      <c r="Q494" s="30">
        <f>Q293-P293</f>
        <v/>
      </c>
      <c r="R494" s="8" t="n"/>
      <c r="S494" s="29">
        <f>S293-Q293</f>
        <v/>
      </c>
      <c r="T494" s="30">
        <f>T293-S293</f>
        <v/>
      </c>
      <c r="U494" s="30">
        <f>U293-T293</f>
        <v/>
      </c>
      <c r="V494" s="30">
        <f>V293-U293</f>
        <v/>
      </c>
      <c r="W494" s="8" t="n"/>
      <c r="X494" s="29">
        <f>X293-V293</f>
        <v/>
      </c>
    </row>
    <row r="495">
      <c r="A495" s="9" t="inlineStr">
        <is>
          <t>CFLT</t>
        </is>
      </c>
      <c r="D495" s="7" t="n"/>
      <c r="E495" s="30">
        <f>E294-D294</f>
        <v/>
      </c>
      <c r="F495" s="30">
        <f>F294-E294</f>
        <v/>
      </c>
      <c r="G495" s="30">
        <f>G294-F294</f>
        <v/>
      </c>
      <c r="H495" s="8" t="n"/>
      <c r="I495" s="29">
        <f>I294-G294</f>
        <v/>
      </c>
      <c r="J495" s="30">
        <f>J294-I294</f>
        <v/>
      </c>
      <c r="K495" s="30">
        <f>K294-J294</f>
        <v/>
      </c>
      <c r="L495" s="30">
        <f>L294-K294</f>
        <v/>
      </c>
      <c r="M495" s="8" t="n"/>
      <c r="N495" s="29">
        <f>N294-L294</f>
        <v/>
      </c>
      <c r="O495" s="30">
        <f>O294-N294</f>
        <v/>
      </c>
      <c r="P495" s="30">
        <f>P294-O294</f>
        <v/>
      </c>
      <c r="Q495" s="30">
        <f>Q294-P294</f>
        <v/>
      </c>
      <c r="R495" s="8" t="n"/>
      <c r="S495" s="29">
        <f>S294-Q294</f>
        <v/>
      </c>
      <c r="T495" s="30">
        <f>T294-S294</f>
        <v/>
      </c>
      <c r="U495" s="30">
        <f>U294-T294</f>
        <v/>
      </c>
      <c r="V495" s="30">
        <f>V294-U294</f>
        <v/>
      </c>
      <c r="W495" s="8" t="n"/>
      <c r="X495" s="29">
        <f>X294-V294</f>
        <v/>
      </c>
    </row>
    <row r="496">
      <c r="A496" s="9" t="inlineStr">
        <is>
          <t>AZPN</t>
        </is>
      </c>
      <c r="D496" s="7" t="n"/>
      <c r="E496" s="30">
        <f>E295-D295</f>
        <v/>
      </c>
      <c r="F496" s="30">
        <f>F295-E295</f>
        <v/>
      </c>
      <c r="G496" s="30">
        <f>G295-F295</f>
        <v/>
      </c>
      <c r="H496" s="8" t="n"/>
      <c r="I496" s="29">
        <f>I295-G295</f>
        <v/>
      </c>
      <c r="J496" s="30">
        <f>J295-I295</f>
        <v/>
      </c>
      <c r="K496" s="30">
        <f>K295-J295</f>
        <v/>
      </c>
      <c r="L496" s="30">
        <f>L295-K295</f>
        <v/>
      </c>
      <c r="M496" s="8" t="n"/>
      <c r="N496" s="29">
        <f>N295-L295</f>
        <v/>
      </c>
      <c r="O496" s="30">
        <f>O295-N295</f>
        <v/>
      </c>
      <c r="P496" s="30">
        <f>P295-O295</f>
        <v/>
      </c>
      <c r="Q496" s="30">
        <f>Q295-P295</f>
        <v/>
      </c>
      <c r="R496" s="8" t="n"/>
      <c r="S496" s="29">
        <f>S295-Q295</f>
        <v/>
      </c>
      <c r="T496" s="30">
        <f>T295-S295</f>
        <v/>
      </c>
      <c r="U496" s="30">
        <f>U295-T295</f>
        <v/>
      </c>
      <c r="V496" s="30">
        <f>V295-U295</f>
        <v/>
      </c>
      <c r="W496" s="8" t="n"/>
      <c r="X496" s="29">
        <f>X295-V295</f>
        <v/>
      </c>
    </row>
    <row r="497">
      <c r="A497" s="9" t="inlineStr">
        <is>
          <t>MANH</t>
        </is>
      </c>
      <c r="D497" s="7" t="n"/>
      <c r="E497" s="30">
        <f>E296-D296</f>
        <v/>
      </c>
      <c r="F497" s="30">
        <f>F296-E296</f>
        <v/>
      </c>
      <c r="G497" s="30">
        <f>G296-F296</f>
        <v/>
      </c>
      <c r="H497" s="8" t="n"/>
      <c r="I497" s="29">
        <f>I296-G296</f>
        <v/>
      </c>
      <c r="J497" s="30">
        <f>J296-I296</f>
        <v/>
      </c>
      <c r="K497" s="30">
        <f>K296-J296</f>
        <v/>
      </c>
      <c r="L497" s="30">
        <f>L296-K296</f>
        <v/>
      </c>
      <c r="M497" s="8" t="n"/>
      <c r="N497" s="29">
        <f>N296-L296</f>
        <v/>
      </c>
      <c r="O497" s="30">
        <f>O296-N296</f>
        <v/>
      </c>
      <c r="P497" s="30">
        <f>P296-O296</f>
        <v/>
      </c>
      <c r="Q497" s="30">
        <f>Q296-P296</f>
        <v/>
      </c>
      <c r="R497" s="8" t="n"/>
      <c r="S497" s="29">
        <f>S296-Q296</f>
        <v/>
      </c>
      <c r="T497" s="30">
        <f>T296-S296</f>
        <v/>
      </c>
      <c r="U497" s="30">
        <f>U296-T296</f>
        <v/>
      </c>
      <c r="V497" s="30">
        <f>V296-U296</f>
        <v/>
      </c>
      <c r="W497" s="8" t="n"/>
      <c r="X497" s="29">
        <f>X296-V296</f>
        <v/>
      </c>
    </row>
    <row r="498">
      <c r="A498" s="9" t="inlineStr">
        <is>
          <t>S</t>
        </is>
      </c>
      <c r="D498" s="7" t="n"/>
      <c r="E498" s="30">
        <f>E297-D297</f>
        <v/>
      </c>
      <c r="F498" s="30">
        <f>F297-E297</f>
        <v/>
      </c>
      <c r="G498" s="30">
        <f>G297-F297</f>
        <v/>
      </c>
      <c r="H498" s="8" t="n"/>
      <c r="I498" s="29">
        <f>I297-G297</f>
        <v/>
      </c>
      <c r="J498" s="30">
        <f>J297-I297</f>
        <v/>
      </c>
      <c r="K498" s="30">
        <f>K297-J297</f>
        <v/>
      </c>
      <c r="L498" s="30">
        <f>L297-K297</f>
        <v/>
      </c>
      <c r="M498" s="8" t="n"/>
      <c r="N498" s="29">
        <f>N297-L297</f>
        <v/>
      </c>
      <c r="O498" s="30">
        <f>O297-N297</f>
        <v/>
      </c>
      <c r="P498" s="30">
        <f>P297-O297</f>
        <v/>
      </c>
      <c r="Q498" s="30">
        <f>Q297-P297</f>
        <v/>
      </c>
      <c r="R498" s="8" t="n"/>
      <c r="S498" s="29">
        <f>S297-Q297</f>
        <v/>
      </c>
      <c r="T498" s="30">
        <f>T297-S297</f>
        <v/>
      </c>
      <c r="U498" s="30">
        <f>U297-T297</f>
        <v/>
      </c>
      <c r="V498" s="30">
        <f>V297-U297</f>
        <v/>
      </c>
      <c r="W498" s="8" t="n"/>
      <c r="X498" s="29">
        <f>X297-V297</f>
        <v/>
      </c>
    </row>
    <row r="499">
      <c r="A499" s="9" t="inlineStr">
        <is>
          <t>TENB</t>
        </is>
      </c>
      <c r="D499" s="7" t="n"/>
      <c r="E499" s="30">
        <f>E298-D298</f>
        <v/>
      </c>
      <c r="F499" s="30">
        <f>F298-E298</f>
        <v/>
      </c>
      <c r="G499" s="30">
        <f>G298-F298</f>
        <v/>
      </c>
      <c r="H499" s="8" t="n"/>
      <c r="I499" s="29">
        <f>I298-G298</f>
        <v/>
      </c>
      <c r="J499" s="30">
        <f>J298-I298</f>
        <v/>
      </c>
      <c r="K499" s="30">
        <f>K298-J298</f>
        <v/>
      </c>
      <c r="L499" s="30">
        <f>L298-K298</f>
        <v/>
      </c>
      <c r="M499" s="8" t="n"/>
      <c r="N499" s="29">
        <f>N298-L298</f>
        <v/>
      </c>
      <c r="O499" s="30">
        <f>O298-N298</f>
        <v/>
      </c>
      <c r="P499" s="30">
        <f>P298-O298</f>
        <v/>
      </c>
      <c r="Q499" s="30">
        <f>Q298-P298</f>
        <v/>
      </c>
      <c r="R499" s="8" t="n"/>
      <c r="S499" s="29">
        <f>S298-Q298</f>
        <v/>
      </c>
      <c r="T499" s="30">
        <f>T298-S298</f>
        <v/>
      </c>
      <c r="U499" s="30">
        <f>U298-T298</f>
        <v/>
      </c>
      <c r="V499" s="30">
        <f>V298-U298</f>
        <v/>
      </c>
      <c r="W499" s="8" t="n"/>
      <c r="X499" s="29">
        <f>X298-V298</f>
        <v/>
      </c>
    </row>
    <row r="500">
      <c r="A500" s="9" t="inlineStr">
        <is>
          <t>GTLB</t>
        </is>
      </c>
      <c r="D500" s="7" t="n"/>
      <c r="E500" s="30">
        <f>E299-D299</f>
        <v/>
      </c>
      <c r="F500" s="30">
        <f>F299-E299</f>
        <v/>
      </c>
      <c r="G500" s="30">
        <f>G299-F299</f>
        <v/>
      </c>
      <c r="H500" s="8" t="n"/>
      <c r="I500" s="29">
        <f>I299-G299</f>
        <v/>
      </c>
      <c r="J500" s="30">
        <f>J299-I299</f>
        <v/>
      </c>
      <c r="K500" s="30">
        <f>K299-J299</f>
        <v/>
      </c>
      <c r="L500" s="30">
        <f>L299-K299</f>
        <v/>
      </c>
      <c r="M500" s="8" t="n"/>
      <c r="N500" s="29">
        <f>N299-L299</f>
        <v/>
      </c>
      <c r="O500" s="30">
        <f>O299-N299</f>
        <v/>
      </c>
      <c r="P500" s="30">
        <f>P299-O299</f>
        <v/>
      </c>
      <c r="Q500" s="30">
        <f>Q299-P299</f>
        <v/>
      </c>
      <c r="R500" s="8" t="n"/>
      <c r="S500" s="29">
        <f>S299-Q299</f>
        <v/>
      </c>
      <c r="T500" s="30">
        <f>T299-S299</f>
        <v/>
      </c>
      <c r="U500" s="30">
        <f>U299-T299</f>
        <v/>
      </c>
      <c r="V500" s="30">
        <f>V299-U299</f>
        <v/>
      </c>
      <c r="W500" s="8" t="n"/>
      <c r="X500" s="29">
        <f>X299-V299</f>
        <v/>
      </c>
    </row>
    <row r="501">
      <c r="A501" s="9" t="inlineStr">
        <is>
          <t>DOCN</t>
        </is>
      </c>
      <c r="D501" s="7" t="n"/>
      <c r="E501" s="30">
        <f>E300-D300</f>
        <v/>
      </c>
      <c r="F501" s="30">
        <f>F300-E300</f>
        <v/>
      </c>
      <c r="G501" s="30">
        <f>G300-F300</f>
        <v/>
      </c>
      <c r="H501" s="8" t="n"/>
      <c r="I501" s="29">
        <f>I300-G300</f>
        <v/>
      </c>
      <c r="J501" s="30">
        <f>J300-I300</f>
        <v/>
      </c>
      <c r="K501" s="30">
        <f>K300-J300</f>
        <v/>
      </c>
      <c r="L501" s="30">
        <f>L300-K300</f>
        <v/>
      </c>
      <c r="M501" s="8" t="n"/>
      <c r="N501" s="29">
        <f>N300-L300</f>
        <v/>
      </c>
      <c r="O501" s="30">
        <f>O300-N300</f>
        <v/>
      </c>
      <c r="P501" s="30">
        <f>P300-O300</f>
        <v/>
      </c>
      <c r="Q501" s="30">
        <f>Q300-P300</f>
        <v/>
      </c>
      <c r="R501" s="8" t="n"/>
      <c r="S501" s="29">
        <f>S300-Q300</f>
        <v/>
      </c>
      <c r="T501" s="30">
        <f>T300-S300</f>
        <v/>
      </c>
      <c r="U501" s="30">
        <f>U300-T300</f>
        <v/>
      </c>
      <c r="V501" s="30">
        <f>V300-U300</f>
        <v/>
      </c>
      <c r="W501" s="8" t="n"/>
      <c r="X501" s="29">
        <f>X300-V300</f>
        <v/>
      </c>
    </row>
    <row r="502">
      <c r="A502" s="9" t="inlineStr">
        <is>
          <t>SPSC</t>
        </is>
      </c>
      <c r="D502" s="7" t="n"/>
      <c r="E502" s="30">
        <f>E301-D301</f>
        <v/>
      </c>
      <c r="F502" s="30">
        <f>F301-E301</f>
        <v/>
      </c>
      <c r="G502" s="30">
        <f>G301-F301</f>
        <v/>
      </c>
      <c r="H502" s="8" t="n"/>
      <c r="I502" s="29">
        <f>I301-G301</f>
        <v/>
      </c>
      <c r="J502" s="30">
        <f>J301-I301</f>
        <v/>
      </c>
      <c r="K502" s="30">
        <f>K301-J301</f>
        <v/>
      </c>
      <c r="L502" s="30">
        <f>L301-K301</f>
        <v/>
      </c>
      <c r="M502" s="8" t="n"/>
      <c r="N502" s="29">
        <f>N301-L301</f>
        <v/>
      </c>
      <c r="O502" s="30">
        <f>O301-N301</f>
        <v/>
      </c>
      <c r="P502" s="30">
        <f>P301-O301</f>
        <v/>
      </c>
      <c r="Q502" s="30">
        <f>Q301-P301</f>
        <v/>
      </c>
      <c r="R502" s="8" t="n"/>
      <c r="S502" s="29">
        <f>S301-Q301</f>
        <v/>
      </c>
      <c r="T502" s="30">
        <f>T301-S301</f>
        <v/>
      </c>
      <c r="U502" s="30">
        <f>U301-T301</f>
        <v/>
      </c>
      <c r="V502" s="30">
        <f>V301-U301</f>
        <v/>
      </c>
      <c r="W502" s="8" t="n"/>
      <c r="X502" s="29">
        <f>X301-V301</f>
        <v/>
      </c>
    </row>
    <row r="503">
      <c r="A503" s="9" t="inlineStr">
        <is>
          <t>BRZE</t>
        </is>
      </c>
      <c r="D503" s="7" t="n"/>
      <c r="E503" s="30">
        <f>E302-D302</f>
        <v/>
      </c>
      <c r="F503" s="30">
        <f>F302-E302</f>
        <v/>
      </c>
      <c r="G503" s="30">
        <f>G302-F302</f>
        <v/>
      </c>
      <c r="H503" s="8" t="n"/>
      <c r="I503" s="29">
        <f>I302-G302</f>
        <v/>
      </c>
      <c r="J503" s="30">
        <f>J302-I302</f>
        <v/>
      </c>
      <c r="K503" s="30">
        <f>K302-J302</f>
        <v/>
      </c>
      <c r="L503" s="30">
        <f>L302-K302</f>
        <v/>
      </c>
      <c r="M503" s="8" t="n"/>
      <c r="N503" s="29">
        <f>N302-L302</f>
        <v/>
      </c>
      <c r="O503" s="30">
        <f>O302-N302</f>
        <v/>
      </c>
      <c r="P503" s="30">
        <f>P302-O302</f>
        <v/>
      </c>
      <c r="Q503" s="30">
        <f>Q302-P302</f>
        <v/>
      </c>
      <c r="R503" s="8" t="n"/>
      <c r="S503" s="29">
        <f>S302-Q302</f>
        <v/>
      </c>
      <c r="T503" s="30">
        <f>T302-S302</f>
        <v/>
      </c>
      <c r="U503" s="30">
        <f>U302-T302</f>
        <v/>
      </c>
      <c r="V503" s="30">
        <f>V302-U302</f>
        <v/>
      </c>
      <c r="W503" s="8" t="n"/>
      <c r="X503" s="29">
        <f>X302-V302</f>
        <v/>
      </c>
    </row>
    <row r="504">
      <c r="A504" s="9" t="inlineStr">
        <is>
          <t>CWAN</t>
        </is>
      </c>
      <c r="D504" s="7" t="n"/>
      <c r="E504" s="30">
        <f>E303-D303</f>
        <v/>
      </c>
      <c r="F504" s="30">
        <f>F303-E303</f>
        <v/>
      </c>
      <c r="G504" s="30">
        <f>G303-F303</f>
        <v/>
      </c>
      <c r="H504" s="8" t="n"/>
      <c r="I504" s="29">
        <f>I303-G303</f>
        <v/>
      </c>
      <c r="J504" s="30">
        <f>J303-I303</f>
        <v/>
      </c>
      <c r="K504" s="30">
        <f>K303-J303</f>
        <v/>
      </c>
      <c r="L504" s="30">
        <f>L303-K303</f>
        <v/>
      </c>
      <c r="M504" s="8" t="n"/>
      <c r="N504" s="29">
        <f>N303-L303</f>
        <v/>
      </c>
      <c r="O504" s="30">
        <f>O303-N303</f>
        <v/>
      </c>
      <c r="P504" s="30">
        <f>P303-O303</f>
        <v/>
      </c>
      <c r="Q504" s="30">
        <f>Q303-P303</f>
        <v/>
      </c>
      <c r="R504" s="8" t="n"/>
      <c r="S504" s="29">
        <f>S303-Q303</f>
        <v/>
      </c>
      <c r="T504" s="30">
        <f>T303-S303</f>
        <v/>
      </c>
      <c r="U504" s="30">
        <f>U303-T303</f>
        <v/>
      </c>
      <c r="V504" s="30">
        <f>V303-U303</f>
        <v/>
      </c>
      <c r="W504" s="8" t="n"/>
      <c r="X504" s="29">
        <f>X303-V303</f>
        <v/>
      </c>
    </row>
    <row r="505">
      <c r="A505" s="9" t="inlineStr">
        <is>
          <t>APPN</t>
        </is>
      </c>
      <c r="D505" s="7" t="n"/>
      <c r="E505" s="30">
        <f>E304-D304</f>
        <v/>
      </c>
      <c r="F505" s="30">
        <f>F304-E304</f>
        <v/>
      </c>
      <c r="G505" s="30">
        <f>G304-F304</f>
        <v/>
      </c>
      <c r="H505" s="8" t="n"/>
      <c r="I505" s="29">
        <f>I304-G304</f>
        <v/>
      </c>
      <c r="J505" s="30">
        <f>J304-I304</f>
        <v/>
      </c>
      <c r="K505" s="30">
        <f>K304-J304</f>
        <v/>
      </c>
      <c r="L505" s="30">
        <f>L304-K304</f>
        <v/>
      </c>
      <c r="M505" s="8" t="n"/>
      <c r="N505" s="29">
        <f>N304-L304</f>
        <v/>
      </c>
      <c r="O505" s="30">
        <f>O304-N304</f>
        <v/>
      </c>
      <c r="P505" s="30">
        <f>P304-O304</f>
        <v/>
      </c>
      <c r="Q505" s="30">
        <f>Q304-P304</f>
        <v/>
      </c>
      <c r="R505" s="8" t="n"/>
      <c r="S505" s="29">
        <f>S304-Q304</f>
        <v/>
      </c>
      <c r="T505" s="30">
        <f>T304-S304</f>
        <v/>
      </c>
      <c r="U505" s="30">
        <f>U304-T304</f>
        <v/>
      </c>
      <c r="V505" s="30">
        <f>V304-U304</f>
        <v/>
      </c>
      <c r="W505" s="8" t="n"/>
      <c r="X505" s="29">
        <f>X304-V304</f>
        <v/>
      </c>
    </row>
    <row r="506">
      <c r="A506" s="9" t="inlineStr">
        <is>
          <t>QLYS</t>
        </is>
      </c>
      <c r="D506" s="7" t="n"/>
      <c r="E506" s="30">
        <f>E305-D305</f>
        <v/>
      </c>
      <c r="F506" s="30">
        <f>F305-E305</f>
        <v/>
      </c>
      <c r="G506" s="30">
        <f>G305-F305</f>
        <v/>
      </c>
      <c r="H506" s="8" t="n"/>
      <c r="I506" s="29">
        <f>I305-G305</f>
        <v/>
      </c>
      <c r="J506" s="30">
        <f>J305-I305</f>
        <v/>
      </c>
      <c r="K506" s="30">
        <f>K305-J305</f>
        <v/>
      </c>
      <c r="L506" s="30">
        <f>L305-K305</f>
        <v/>
      </c>
      <c r="M506" s="8" t="n"/>
      <c r="N506" s="29">
        <f>N305-L305</f>
        <v/>
      </c>
      <c r="O506" s="30">
        <f>O305-N305</f>
        <v/>
      </c>
      <c r="P506" s="30">
        <f>P305-O305</f>
        <v/>
      </c>
      <c r="Q506" s="30">
        <f>Q305-P305</f>
        <v/>
      </c>
      <c r="R506" s="8" t="n"/>
      <c r="S506" s="29">
        <f>S305-Q305</f>
        <v/>
      </c>
      <c r="T506" s="30">
        <f>T305-S305</f>
        <v/>
      </c>
      <c r="U506" s="30">
        <f>U305-T305</f>
        <v/>
      </c>
      <c r="V506" s="30">
        <f>V305-U305</f>
        <v/>
      </c>
      <c r="W506" s="8" t="n"/>
      <c r="X506" s="29">
        <f>X305-V305</f>
        <v/>
      </c>
    </row>
    <row r="507">
      <c r="A507" s="9" t="inlineStr">
        <is>
          <t>NCNO</t>
        </is>
      </c>
      <c r="D507" s="7" t="n"/>
      <c r="E507" s="30">
        <f>E306-D306</f>
        <v/>
      </c>
      <c r="F507" s="30">
        <f>F306-E306</f>
        <v/>
      </c>
      <c r="G507" s="30">
        <f>G306-F306</f>
        <v/>
      </c>
      <c r="H507" s="8" t="n"/>
      <c r="I507" s="29">
        <f>I306-G306</f>
        <v/>
      </c>
      <c r="J507" s="30">
        <f>J306-I306</f>
        <v/>
      </c>
      <c r="K507" s="30">
        <f>K306-J306</f>
        <v/>
      </c>
      <c r="L507" s="30">
        <f>L306-K306</f>
        <v/>
      </c>
      <c r="M507" s="8" t="n"/>
      <c r="N507" s="29">
        <f>N306-L306</f>
        <v/>
      </c>
      <c r="O507" s="30">
        <f>O306-N306</f>
        <v/>
      </c>
      <c r="P507" s="30">
        <f>P306-O306</f>
        <v/>
      </c>
      <c r="Q507" s="30">
        <f>Q306-P306</f>
        <v/>
      </c>
      <c r="R507" s="8" t="n"/>
      <c r="S507" s="29">
        <f>S306-Q306</f>
        <v/>
      </c>
      <c r="T507" s="30">
        <f>T306-S306</f>
        <v/>
      </c>
      <c r="U507" s="30">
        <f>U306-T306</f>
        <v/>
      </c>
      <c r="V507" s="30">
        <f>V306-U306</f>
        <v/>
      </c>
      <c r="W507" s="8" t="n"/>
      <c r="X507" s="29">
        <f>X306-V306</f>
        <v/>
      </c>
    </row>
    <row r="508">
      <c r="A508" s="9" t="inlineStr">
        <is>
          <t>FROG</t>
        </is>
      </c>
      <c r="D508" s="7" t="n"/>
      <c r="E508" s="30">
        <f>E307-D307</f>
        <v/>
      </c>
      <c r="F508" s="30">
        <f>F307-E307</f>
        <v/>
      </c>
      <c r="G508" s="30">
        <f>G307-F307</f>
        <v/>
      </c>
      <c r="H508" s="8" t="n"/>
      <c r="I508" s="29">
        <f>I307-G307</f>
        <v/>
      </c>
      <c r="J508" s="30">
        <f>J307-I307</f>
        <v/>
      </c>
      <c r="K508" s="30">
        <f>K307-J307</f>
        <v/>
      </c>
      <c r="L508" s="30">
        <f>L307-K307</f>
        <v/>
      </c>
      <c r="M508" s="8" t="n"/>
      <c r="N508" s="29">
        <f>N307-L307</f>
        <v/>
      </c>
      <c r="O508" s="30">
        <f>O307-N307</f>
        <v/>
      </c>
      <c r="P508" s="30">
        <f>P307-O307</f>
        <v/>
      </c>
      <c r="Q508" s="30">
        <f>Q307-P307</f>
        <v/>
      </c>
      <c r="R508" s="8" t="n"/>
      <c r="S508" s="29">
        <f>S307-Q307</f>
        <v/>
      </c>
      <c r="T508" s="30">
        <f>T307-S307</f>
        <v/>
      </c>
      <c r="U508" s="30">
        <f>U307-T307</f>
        <v/>
      </c>
      <c r="V508" s="30">
        <f>V307-U307</f>
        <v/>
      </c>
      <c r="W508" s="8" t="n"/>
      <c r="X508" s="29">
        <f>X307-V307</f>
        <v/>
      </c>
    </row>
    <row r="509">
      <c r="D509" s="7" t="n"/>
      <c r="H509" s="8" t="n"/>
      <c r="I509" s="7" t="n"/>
      <c r="M509" s="8" t="n"/>
      <c r="N509" s="7" t="n"/>
      <c r="R509" s="8" t="n"/>
      <c r="S509" s="7" t="n"/>
      <c r="W509" s="8" t="n"/>
      <c r="X509" s="7" t="n"/>
    </row>
    <row r="510">
      <c r="D510" s="7" t="n"/>
      <c r="H510" s="8" t="n"/>
      <c r="I510" s="7" t="n"/>
      <c r="M510" s="8" t="n"/>
      <c r="N510" s="7" t="n"/>
      <c r="R510" s="8" t="n"/>
      <c r="S510" s="7" t="n"/>
      <c r="W510" s="8" t="n"/>
      <c r="X510" s="7" t="n"/>
    </row>
    <row r="511">
      <c r="A511" s="3" t="inlineStr">
        <is>
          <t>% Variance vs Consensus</t>
        </is>
      </c>
      <c r="D511" s="7" t="n"/>
      <c r="H511" s="8" t="n"/>
      <c r="I511" s="7" t="n"/>
      <c r="M511" s="8" t="n"/>
      <c r="N511" s="7" t="n"/>
      <c r="R511" s="8" t="n"/>
      <c r="S511" s="7" t="n"/>
      <c r="W511" s="8" t="n"/>
      <c r="X511" s="7" t="n"/>
    </row>
    <row r="512">
      <c r="A512" s="9" t="inlineStr">
        <is>
          <t>ADBE</t>
        </is>
      </c>
      <c r="D512" s="22">
        <f>IFERROR((D4-D260)/D260,"-")</f>
        <v/>
      </c>
      <c r="E512" s="14">
        <f>IFERROR((E4-E260)/E260,"-")</f>
        <v/>
      </c>
      <c r="F512" s="14">
        <f>IFERROR((F4-F260)/F260,"-")</f>
        <v/>
      </c>
      <c r="G512" s="14">
        <f>IFERROR((G4-G260)/G260,"-")</f>
        <v/>
      </c>
      <c r="H512" s="23">
        <f>IFERROR((H4-H260)/H260,"-")</f>
        <v/>
      </c>
      <c r="I512" s="22">
        <f>IFERROR((I4-I260)/I260,"-")</f>
        <v/>
      </c>
      <c r="J512" s="14">
        <f>IFERROR((J4-J260)/J260,"-")</f>
        <v/>
      </c>
      <c r="K512" s="14">
        <f>IFERROR((K4-K260)/K260,"-")</f>
        <v/>
      </c>
      <c r="L512" s="14">
        <f>IFERROR((L4-L260)/L260,"-")</f>
        <v/>
      </c>
      <c r="M512" s="23">
        <f>IFERROR((M4-M260)/M260,"-")</f>
        <v/>
      </c>
      <c r="N512" s="22">
        <f>IFERROR((N4-N260)/N260,"-")</f>
        <v/>
      </c>
      <c r="O512" s="14">
        <f>IFERROR((O4-O260)/O260,"-")</f>
        <v/>
      </c>
      <c r="P512" s="14">
        <f>IFERROR((P4-P260)/P260,"-")</f>
        <v/>
      </c>
      <c r="Q512" s="14">
        <f>IFERROR((Q4-Q260)/Q260,"-")</f>
        <v/>
      </c>
      <c r="R512" s="23">
        <f>IFERROR((R4-R260)/R260,"-")</f>
        <v/>
      </c>
      <c r="S512" s="22">
        <f>IFERROR((S4-S260)/S260,"-")</f>
        <v/>
      </c>
      <c r="T512" s="14">
        <f>IFERROR((T4-T260)/T260,"-")</f>
        <v/>
      </c>
      <c r="U512" s="14">
        <f>IFERROR((U4-U260)/U260,"-")</f>
        <v/>
      </c>
      <c r="V512" s="14">
        <f>IFERROR((V4-V260)/V260,"-")</f>
        <v/>
      </c>
      <c r="W512" s="23">
        <f>IFERROR((W4-W260)/W260,"-")</f>
        <v/>
      </c>
      <c r="X512" s="22">
        <f>IFERROR((X4-X260)/X260,"-")</f>
        <v/>
      </c>
    </row>
    <row r="513">
      <c r="A513" s="9" t="inlineStr">
        <is>
          <t>INTU</t>
        </is>
      </c>
      <c r="D513" s="22">
        <f>IFERROR((D5-D261)/D261,"-")</f>
        <v/>
      </c>
      <c r="E513" s="14">
        <f>IFERROR((E5-E261)/E261,"-")</f>
        <v/>
      </c>
      <c r="F513" s="14">
        <f>IFERROR((F5-F261)/F261,"-")</f>
        <v/>
      </c>
      <c r="G513" s="14">
        <f>IFERROR((G5-G261)/G261,"-")</f>
        <v/>
      </c>
      <c r="H513" s="23">
        <f>IFERROR((H5-H261)/H261,"-")</f>
        <v/>
      </c>
      <c r="I513" s="22">
        <f>IFERROR((I5-I261)/I261,"-")</f>
        <v/>
      </c>
      <c r="J513" s="14">
        <f>IFERROR((J5-J261)/J261,"-")</f>
        <v/>
      </c>
      <c r="K513" s="14">
        <f>IFERROR((K5-K261)/K261,"-")</f>
        <v/>
      </c>
      <c r="L513" s="14">
        <f>IFERROR((L5-L261)/L261,"-")</f>
        <v/>
      </c>
      <c r="M513" s="23">
        <f>IFERROR((M5-M261)/M261,"-")</f>
        <v/>
      </c>
      <c r="N513" s="22">
        <f>IFERROR((N5-N261)/N261,"-")</f>
        <v/>
      </c>
      <c r="O513" s="14">
        <f>IFERROR((O5-O261)/O261,"-")</f>
        <v/>
      </c>
      <c r="P513" s="14">
        <f>IFERROR((P5-P261)/P261,"-")</f>
        <v/>
      </c>
      <c r="Q513" s="14">
        <f>IFERROR((Q5-Q261)/Q261,"-")</f>
        <v/>
      </c>
      <c r="R513" s="23">
        <f>IFERROR((R5-R261)/R261,"-")</f>
        <v/>
      </c>
      <c r="S513" s="22">
        <f>IFERROR((S5-S261)/S261,"-")</f>
        <v/>
      </c>
      <c r="T513" s="14">
        <f>IFERROR((T5-T261)/T261,"-")</f>
        <v/>
      </c>
      <c r="U513" s="14">
        <f>IFERROR((U5-U261)/U261,"-")</f>
        <v/>
      </c>
      <c r="V513" s="14">
        <f>IFERROR((V5-V261)/V261,"-")</f>
        <v/>
      </c>
      <c r="W513" s="23">
        <f>IFERROR((W5-W261)/W261,"-")</f>
        <v/>
      </c>
      <c r="X513" s="22">
        <f>IFERROR((X5-X261)/X261,"-")</f>
        <v/>
      </c>
    </row>
    <row r="514">
      <c r="A514" s="9" t="inlineStr">
        <is>
          <t>NOW</t>
        </is>
      </c>
      <c r="D514" s="22">
        <f>IFERROR((D6-D262)/D262,"-")</f>
        <v/>
      </c>
      <c r="E514" s="14">
        <f>IFERROR((E6-E262)/E262,"-")</f>
        <v/>
      </c>
      <c r="F514" s="14">
        <f>IFERROR((F6-F262)/F262,"-")</f>
        <v/>
      </c>
      <c r="G514" s="14">
        <f>IFERROR((G6-G262)/G262,"-")</f>
        <v/>
      </c>
      <c r="H514" s="23">
        <f>IFERROR((H6-H262)/H262,"-")</f>
        <v/>
      </c>
      <c r="I514" s="22">
        <f>IFERROR((I6-I262)/I262,"-")</f>
        <v/>
      </c>
      <c r="J514" s="14">
        <f>IFERROR((J6-J262)/J262,"-")</f>
        <v/>
      </c>
      <c r="K514" s="14">
        <f>IFERROR((K6-K262)/K262,"-")</f>
        <v/>
      </c>
      <c r="L514" s="14">
        <f>IFERROR((L6-L262)/L262,"-")</f>
        <v/>
      </c>
      <c r="M514" s="23">
        <f>IFERROR((M6-M262)/M262,"-")</f>
        <v/>
      </c>
      <c r="N514" s="22">
        <f>IFERROR((N6-N262)/N262,"-")</f>
        <v/>
      </c>
      <c r="O514" s="14">
        <f>IFERROR((O6-O262)/O262,"-")</f>
        <v/>
      </c>
      <c r="P514" s="14">
        <f>IFERROR((P6-P262)/P262,"-")</f>
        <v/>
      </c>
      <c r="Q514" s="14">
        <f>IFERROR((Q6-Q262)/Q262,"-")</f>
        <v/>
      </c>
      <c r="R514" s="23">
        <f>IFERROR((R6-R262)/R262,"-")</f>
        <v/>
      </c>
      <c r="S514" s="22">
        <f>IFERROR((S6-S262)/S262,"-")</f>
        <v/>
      </c>
      <c r="T514" s="14">
        <f>IFERROR((T6-T262)/T262,"-")</f>
        <v/>
      </c>
      <c r="U514" s="14">
        <f>IFERROR((U6-U262)/U262,"-")</f>
        <v/>
      </c>
      <c r="V514" s="14">
        <f>IFERROR((V6-V262)/V262,"-")</f>
        <v/>
      </c>
      <c r="W514" s="23">
        <f>IFERROR((W6-W262)/W262,"-")</f>
        <v/>
      </c>
      <c r="X514" s="22">
        <f>IFERROR((X6-X262)/X262,"-")</f>
        <v/>
      </c>
    </row>
    <row r="515">
      <c r="A515" s="9" t="inlineStr">
        <is>
          <t>PANW</t>
        </is>
      </c>
      <c r="D515" s="22">
        <f>IFERROR((D7-D263)/D263,"-")</f>
        <v/>
      </c>
      <c r="E515" s="14">
        <f>IFERROR((E7-E263)/E263,"-")</f>
        <v/>
      </c>
      <c r="F515" s="14">
        <f>IFERROR((F7-F263)/F263,"-")</f>
        <v/>
      </c>
      <c r="G515" s="14">
        <f>IFERROR((G7-G263)/G263,"-")</f>
        <v/>
      </c>
      <c r="H515" s="23">
        <f>IFERROR((H7-H263)/H263,"-")</f>
        <v/>
      </c>
      <c r="I515" s="22">
        <f>IFERROR((I7-I263)/I263,"-")</f>
        <v/>
      </c>
      <c r="J515" s="14">
        <f>IFERROR((J7-J263)/J263,"-")</f>
        <v/>
      </c>
      <c r="K515" s="14">
        <f>IFERROR((K7-K263)/K263,"-")</f>
        <v/>
      </c>
      <c r="L515" s="14">
        <f>IFERROR((L7-L263)/L263,"-")</f>
        <v/>
      </c>
      <c r="M515" s="23">
        <f>IFERROR((M7-M263)/M263,"-")</f>
        <v/>
      </c>
      <c r="N515" s="22">
        <f>IFERROR((N7-N263)/N263,"-")</f>
        <v/>
      </c>
      <c r="O515" s="14">
        <f>IFERROR((O7-O263)/O263,"-")</f>
        <v/>
      </c>
      <c r="P515" s="14">
        <f>IFERROR((P7-P263)/P263,"-")</f>
        <v/>
      </c>
      <c r="Q515" s="14">
        <f>IFERROR((Q7-Q263)/Q263,"-")</f>
        <v/>
      </c>
      <c r="R515" s="23">
        <f>IFERROR((R7-R263)/R263,"-")</f>
        <v/>
      </c>
      <c r="S515" s="22">
        <f>IFERROR((S7-S263)/S263,"-")</f>
        <v/>
      </c>
      <c r="T515" s="14">
        <f>IFERROR((T7-T263)/T263,"-")</f>
        <v/>
      </c>
      <c r="U515" s="14">
        <f>IFERROR((U7-U263)/U263,"-")</f>
        <v/>
      </c>
      <c r="V515" s="14">
        <f>IFERROR((V7-V263)/V263,"-")</f>
        <v/>
      </c>
      <c r="W515" s="23">
        <f>IFERROR((W7-W263)/W263,"-")</f>
        <v/>
      </c>
      <c r="X515" s="22">
        <f>IFERROR((X7-X263)/X263,"-")</f>
        <v/>
      </c>
    </row>
    <row r="516">
      <c r="A516" s="9" t="inlineStr">
        <is>
          <t>WDAY</t>
        </is>
      </c>
      <c r="D516" s="22">
        <f>IFERROR((D8-D264)/D264,"-")</f>
        <v/>
      </c>
      <c r="E516" s="14">
        <f>IFERROR((E8-E264)/E264,"-")</f>
        <v/>
      </c>
      <c r="F516" s="14">
        <f>IFERROR((F8-F264)/F264,"-")</f>
        <v/>
      </c>
      <c r="G516" s="14">
        <f>IFERROR((G8-G264)/G264,"-")</f>
        <v/>
      </c>
      <c r="H516" s="23">
        <f>IFERROR((H8-H264)/H264,"-")</f>
        <v/>
      </c>
      <c r="I516" s="22">
        <f>IFERROR((I8-I264)/I264,"-")</f>
        <v/>
      </c>
      <c r="J516" s="14">
        <f>IFERROR((J8-J264)/J264,"-")</f>
        <v/>
      </c>
      <c r="K516" s="14">
        <f>IFERROR((K8-K264)/K264,"-")</f>
        <v/>
      </c>
      <c r="L516" s="14">
        <f>IFERROR((L8-L264)/L264,"-")</f>
        <v/>
      </c>
      <c r="M516" s="23">
        <f>IFERROR((M8-M264)/M264,"-")</f>
        <v/>
      </c>
      <c r="N516" s="22">
        <f>IFERROR((N8-N264)/N264,"-")</f>
        <v/>
      </c>
      <c r="O516" s="14">
        <f>IFERROR((O8-O264)/O264,"-")</f>
        <v/>
      </c>
      <c r="P516" s="14">
        <f>IFERROR((P8-P264)/P264,"-")</f>
        <v/>
      </c>
      <c r="Q516" s="14">
        <f>IFERROR((Q8-Q264)/Q264,"-")</f>
        <v/>
      </c>
      <c r="R516" s="23">
        <f>IFERROR((R8-R264)/R264,"-")</f>
        <v/>
      </c>
      <c r="S516" s="22">
        <f>IFERROR((S8-S264)/S264,"-")</f>
        <v/>
      </c>
      <c r="T516" s="14">
        <f>IFERROR((T8-T264)/T264,"-")</f>
        <v/>
      </c>
      <c r="U516" s="14">
        <f>IFERROR((U8-U264)/U264,"-")</f>
        <v/>
      </c>
      <c r="V516" s="14">
        <f>IFERROR((V8-V264)/V264,"-")</f>
        <v/>
      </c>
      <c r="W516" s="23">
        <f>IFERROR((W8-W264)/W264,"-")</f>
        <v/>
      </c>
      <c r="X516" s="22">
        <f>IFERROR((X8-X264)/X264,"-")</f>
        <v/>
      </c>
    </row>
    <row r="517">
      <c r="A517" s="9" t="inlineStr">
        <is>
          <t>SNPS</t>
        </is>
      </c>
      <c r="D517" s="22">
        <f>IFERROR((D9-D265)/D265,"-")</f>
        <v/>
      </c>
      <c r="E517" s="14">
        <f>IFERROR((E9-E265)/E265,"-")</f>
        <v/>
      </c>
      <c r="F517" s="14">
        <f>IFERROR((F9-F265)/F265,"-")</f>
        <v/>
      </c>
      <c r="G517" s="14">
        <f>IFERROR((G9-G265)/G265,"-")</f>
        <v/>
      </c>
      <c r="H517" s="23">
        <f>IFERROR((H9-H265)/H265,"-")</f>
        <v/>
      </c>
      <c r="I517" s="22">
        <f>IFERROR((I9-I265)/I265,"-")</f>
        <v/>
      </c>
      <c r="J517" s="14">
        <f>IFERROR((J9-J265)/J265,"-")</f>
        <v/>
      </c>
      <c r="K517" s="14">
        <f>IFERROR((K9-K265)/K265,"-")</f>
        <v/>
      </c>
      <c r="L517" s="14">
        <f>IFERROR((L9-L265)/L265,"-")</f>
        <v/>
      </c>
      <c r="M517" s="23">
        <f>IFERROR((M9-M265)/M265,"-")</f>
        <v/>
      </c>
      <c r="N517" s="22">
        <f>IFERROR((N9-N265)/N265,"-")</f>
        <v/>
      </c>
      <c r="O517" s="14">
        <f>IFERROR((O9-O265)/O265,"-")</f>
        <v/>
      </c>
      <c r="P517" s="14">
        <f>IFERROR((P9-P265)/P265,"-")</f>
        <v/>
      </c>
      <c r="Q517" s="14">
        <f>IFERROR((Q9-Q265)/Q265,"-")</f>
        <v/>
      </c>
      <c r="R517" s="23">
        <f>IFERROR((R9-R265)/R265,"-")</f>
        <v/>
      </c>
      <c r="S517" s="22">
        <f>IFERROR((S9-S265)/S265,"-")</f>
        <v/>
      </c>
      <c r="T517" s="14">
        <f>IFERROR((T9-T265)/T265,"-")</f>
        <v/>
      </c>
      <c r="U517" s="14">
        <f>IFERROR((U9-U265)/U265,"-")</f>
        <v/>
      </c>
      <c r="V517" s="14">
        <f>IFERROR((V9-V265)/V265,"-")</f>
        <v/>
      </c>
      <c r="W517" s="23">
        <f>IFERROR((W9-W265)/W265,"-")</f>
        <v/>
      </c>
      <c r="X517" s="22">
        <f>IFERROR((X9-X265)/X265,"-")</f>
        <v/>
      </c>
    </row>
    <row r="518">
      <c r="A518" s="9" t="inlineStr">
        <is>
          <t>ROP</t>
        </is>
      </c>
      <c r="D518" s="22">
        <f>IFERROR((D10-D266)/D266,"-")</f>
        <v/>
      </c>
      <c r="E518" s="14">
        <f>IFERROR((E10-E266)/E266,"-")</f>
        <v/>
      </c>
      <c r="F518" s="14">
        <f>IFERROR((F10-F266)/F266,"-")</f>
        <v/>
      </c>
      <c r="G518" s="14">
        <f>IFERROR((G10-G266)/G266,"-")</f>
        <v/>
      </c>
      <c r="H518" s="23">
        <f>IFERROR((H10-H266)/H266,"-")</f>
        <v/>
      </c>
      <c r="I518" s="22">
        <f>IFERROR((I10-I266)/I266,"-")</f>
        <v/>
      </c>
      <c r="J518" s="14">
        <f>IFERROR((J10-J266)/J266,"-")</f>
        <v/>
      </c>
      <c r="K518" s="14">
        <f>IFERROR((K10-K266)/K266,"-")</f>
        <v/>
      </c>
      <c r="L518" s="14">
        <f>IFERROR((L10-L266)/L266,"-")</f>
        <v/>
      </c>
      <c r="M518" s="23">
        <f>IFERROR((M10-M266)/M266,"-")</f>
        <v/>
      </c>
      <c r="N518" s="22">
        <f>IFERROR((N10-N266)/N266,"-")</f>
        <v/>
      </c>
      <c r="O518" s="14">
        <f>IFERROR((O10-O266)/O266,"-")</f>
        <v/>
      </c>
      <c r="P518" s="14">
        <f>IFERROR((P10-P266)/P266,"-")</f>
        <v/>
      </c>
      <c r="Q518" s="14">
        <f>IFERROR((Q10-Q266)/Q266,"-")</f>
        <v/>
      </c>
      <c r="R518" s="23">
        <f>IFERROR((R10-R266)/R266,"-")</f>
        <v/>
      </c>
      <c r="S518" s="22">
        <f>IFERROR((S10-S266)/S266,"-")</f>
        <v/>
      </c>
      <c r="T518" s="14">
        <f>IFERROR((T10-T266)/T266,"-")</f>
        <v/>
      </c>
      <c r="U518" s="14">
        <f>IFERROR((U10-U266)/U266,"-")</f>
        <v/>
      </c>
      <c r="V518" s="14">
        <f>IFERROR((V10-V266)/V266,"-")</f>
        <v/>
      </c>
      <c r="W518" s="23">
        <f>IFERROR((W10-W266)/W266,"-")</f>
        <v/>
      </c>
      <c r="X518" s="22">
        <f>IFERROR((X10-X266)/X266,"-")</f>
        <v/>
      </c>
    </row>
    <row r="519">
      <c r="A519" s="9" t="inlineStr">
        <is>
          <t>ADSK</t>
        </is>
      </c>
      <c r="D519" s="22">
        <f>IFERROR((D11-D267)/D267,"-")</f>
        <v/>
      </c>
      <c r="E519" s="14">
        <f>IFERROR((E11-E267)/E267,"-")</f>
        <v/>
      </c>
      <c r="F519" s="14">
        <f>IFERROR((F11-F267)/F267,"-")</f>
        <v/>
      </c>
      <c r="G519" s="14">
        <f>IFERROR((G11-G267)/G267,"-")</f>
        <v/>
      </c>
      <c r="H519" s="23">
        <f>IFERROR((H11-H267)/H267,"-")</f>
        <v/>
      </c>
      <c r="I519" s="22">
        <f>IFERROR((I11-I267)/I267,"-")</f>
        <v/>
      </c>
      <c r="J519" s="14">
        <f>IFERROR((J11-J267)/J267,"-")</f>
        <v/>
      </c>
      <c r="K519" s="14">
        <f>IFERROR((K11-K267)/K267,"-")</f>
        <v/>
      </c>
      <c r="L519" s="14">
        <f>IFERROR((L11-L267)/L267,"-")</f>
        <v/>
      </c>
      <c r="M519" s="23">
        <f>IFERROR((M11-M267)/M267,"-")</f>
        <v/>
      </c>
      <c r="N519" s="22">
        <f>IFERROR((N11-N267)/N267,"-")</f>
        <v/>
      </c>
      <c r="O519" s="14">
        <f>IFERROR((O11-O267)/O267,"-")</f>
        <v/>
      </c>
      <c r="P519" s="14">
        <f>IFERROR((P11-P267)/P267,"-")</f>
        <v/>
      </c>
      <c r="Q519" s="14">
        <f>IFERROR((Q11-Q267)/Q267,"-")</f>
        <v/>
      </c>
      <c r="R519" s="23">
        <f>IFERROR((R11-R267)/R267,"-")</f>
        <v/>
      </c>
      <c r="S519" s="22">
        <f>IFERROR((S11-S267)/S267,"-")</f>
        <v/>
      </c>
      <c r="T519" s="14">
        <f>IFERROR((T11-T267)/T267,"-")</f>
        <v/>
      </c>
      <c r="U519" s="14">
        <f>IFERROR((U11-U267)/U267,"-")</f>
        <v/>
      </c>
      <c r="V519" s="14">
        <f>IFERROR((V11-V267)/V267,"-")</f>
        <v/>
      </c>
      <c r="W519" s="23">
        <f>IFERROR((W11-W267)/W267,"-")</f>
        <v/>
      </c>
      <c r="X519" s="22">
        <f>IFERROR((X11-X267)/X267,"-")</f>
        <v/>
      </c>
    </row>
    <row r="520">
      <c r="A520" s="9" t="inlineStr">
        <is>
          <t>FTNT</t>
        </is>
      </c>
      <c r="D520" s="22">
        <f>IFERROR((D12-D268)/D268,"-")</f>
        <v/>
      </c>
      <c r="E520" s="14">
        <f>IFERROR((E12-E268)/E268,"-")</f>
        <v/>
      </c>
      <c r="F520" s="14">
        <f>IFERROR((F12-F268)/F268,"-")</f>
        <v/>
      </c>
      <c r="G520" s="14">
        <f>IFERROR((G12-G268)/G268,"-")</f>
        <v/>
      </c>
      <c r="H520" s="23">
        <f>IFERROR((H12-H268)/H268,"-")</f>
        <v/>
      </c>
      <c r="I520" s="22">
        <f>IFERROR((I12-I268)/I268,"-")</f>
        <v/>
      </c>
      <c r="J520" s="14">
        <f>IFERROR((J12-J268)/J268,"-")</f>
        <v/>
      </c>
      <c r="K520" s="14">
        <f>IFERROR((K12-K268)/K268,"-")</f>
        <v/>
      </c>
      <c r="L520" s="14">
        <f>IFERROR((L12-L268)/L268,"-")</f>
        <v/>
      </c>
      <c r="M520" s="23">
        <f>IFERROR((M12-M268)/M268,"-")</f>
        <v/>
      </c>
      <c r="N520" s="22">
        <f>IFERROR((N12-N268)/N268,"-")</f>
        <v/>
      </c>
      <c r="O520" s="14">
        <f>IFERROR((O12-O268)/O268,"-")</f>
        <v/>
      </c>
      <c r="P520" s="14">
        <f>IFERROR((P12-P268)/P268,"-")</f>
        <v/>
      </c>
      <c r="Q520" s="14">
        <f>IFERROR((Q12-Q268)/Q268,"-")</f>
        <v/>
      </c>
      <c r="R520" s="23">
        <f>IFERROR((R12-R268)/R268,"-")</f>
        <v/>
      </c>
      <c r="S520" s="22">
        <f>IFERROR((S12-S268)/S268,"-")</f>
        <v/>
      </c>
      <c r="T520" s="14">
        <f>IFERROR((T12-T268)/T268,"-")</f>
        <v/>
      </c>
      <c r="U520" s="14">
        <f>IFERROR((U12-U268)/U268,"-")</f>
        <v/>
      </c>
      <c r="V520" s="14">
        <f>IFERROR((V12-V268)/V268,"-")</f>
        <v/>
      </c>
      <c r="W520" s="23">
        <f>IFERROR((W12-W268)/W268,"-")</f>
        <v/>
      </c>
      <c r="X520" s="22">
        <f>IFERROR((X12-X268)/X268,"-")</f>
        <v/>
      </c>
    </row>
    <row r="521">
      <c r="A521" s="9" t="inlineStr">
        <is>
          <t>TOST</t>
        </is>
      </c>
      <c r="D521" s="22">
        <f>IFERROR((D13-D269)/D269,"-")</f>
        <v/>
      </c>
      <c r="E521" s="14">
        <f>IFERROR((E13-E269)/E269,"-")</f>
        <v/>
      </c>
      <c r="F521" s="14">
        <f>IFERROR((F13-F269)/F269,"-")</f>
        <v/>
      </c>
      <c r="G521" s="14">
        <f>IFERROR((G13-G269)/G269,"-")</f>
        <v/>
      </c>
      <c r="H521" s="23">
        <f>IFERROR((H13-H269)/H269,"-")</f>
        <v/>
      </c>
      <c r="I521" s="22">
        <f>IFERROR((I13-I269)/I269,"-")</f>
        <v/>
      </c>
      <c r="J521" s="14">
        <f>IFERROR((J13-J269)/J269,"-")</f>
        <v/>
      </c>
      <c r="K521" s="14">
        <f>IFERROR((K13-K269)/K269,"-")</f>
        <v/>
      </c>
      <c r="L521" s="14">
        <f>IFERROR((L13-L269)/L269,"-")</f>
        <v/>
      </c>
      <c r="M521" s="23">
        <f>IFERROR((M13-M269)/M269,"-")</f>
        <v/>
      </c>
      <c r="N521" s="22">
        <f>IFERROR((N13-N269)/N269,"-")</f>
        <v/>
      </c>
      <c r="O521" s="14">
        <f>IFERROR((O13-O269)/O269,"-")</f>
        <v/>
      </c>
      <c r="P521" s="14">
        <f>IFERROR((P13-P269)/P269,"-")</f>
        <v/>
      </c>
      <c r="Q521" s="14">
        <f>IFERROR((Q13-Q269)/Q269,"-")</f>
        <v/>
      </c>
      <c r="R521" s="23">
        <f>IFERROR((R13-R269)/R269,"-")</f>
        <v/>
      </c>
      <c r="S521" s="22">
        <f>IFERROR((S13-S269)/S269,"-")</f>
        <v/>
      </c>
      <c r="T521" s="14">
        <f>IFERROR((T13-T269)/T269,"-")</f>
        <v/>
      </c>
      <c r="U521" s="14">
        <f>IFERROR((U13-U269)/U269,"-")</f>
        <v/>
      </c>
      <c r="V521" s="14">
        <f>IFERROR((V13-V269)/V269,"-")</f>
        <v/>
      </c>
      <c r="W521" s="23">
        <f>IFERROR((W13-W269)/W269,"-")</f>
        <v/>
      </c>
      <c r="X521" s="22">
        <f>IFERROR((X13-X269)/X269,"-")</f>
        <v/>
      </c>
    </row>
    <row r="522">
      <c r="A522" s="9" t="inlineStr">
        <is>
          <t>TEAM</t>
        </is>
      </c>
      <c r="D522" s="22">
        <f>IFERROR((D14-D270)/D270,"-")</f>
        <v/>
      </c>
      <c r="E522" s="14">
        <f>IFERROR((E14-E270)/E270,"-")</f>
        <v/>
      </c>
      <c r="F522" s="14">
        <f>IFERROR((F14-F270)/F270,"-")</f>
        <v/>
      </c>
      <c r="G522" s="14">
        <f>IFERROR((G14-G270)/G270,"-")</f>
        <v/>
      </c>
      <c r="H522" s="23">
        <f>IFERROR((H14-H270)/H270,"-")</f>
        <v/>
      </c>
      <c r="I522" s="22">
        <f>IFERROR((I14-I270)/I270,"-")</f>
        <v/>
      </c>
      <c r="J522" s="14">
        <f>IFERROR((J14-J270)/J270,"-")</f>
        <v/>
      </c>
      <c r="K522" s="14">
        <f>IFERROR((K14-K270)/K270,"-")</f>
        <v/>
      </c>
      <c r="L522" s="14">
        <f>IFERROR((L14-L270)/L270,"-")</f>
        <v/>
      </c>
      <c r="M522" s="23">
        <f>IFERROR((M14-M270)/M270,"-")</f>
        <v/>
      </c>
      <c r="N522" s="22">
        <f>IFERROR((N14-N270)/N270,"-")</f>
        <v/>
      </c>
      <c r="O522" s="14">
        <f>IFERROR((O14-O270)/O270,"-")</f>
        <v/>
      </c>
      <c r="P522" s="14">
        <f>IFERROR((P14-P270)/P270,"-")</f>
        <v/>
      </c>
      <c r="Q522" s="14">
        <f>IFERROR((Q14-Q270)/Q270,"-")</f>
        <v/>
      </c>
      <c r="R522" s="23">
        <f>IFERROR((R14-R270)/R270,"-")</f>
        <v/>
      </c>
      <c r="S522" s="22">
        <f>IFERROR((S14-S270)/S270,"-")</f>
        <v/>
      </c>
      <c r="T522" s="14">
        <f>IFERROR((T14-T270)/T270,"-")</f>
        <v/>
      </c>
      <c r="U522" s="14">
        <f>IFERROR((U14-U270)/U270,"-")</f>
        <v/>
      </c>
      <c r="V522" s="14">
        <f>IFERROR((V14-V270)/V270,"-")</f>
        <v/>
      </c>
      <c r="W522" s="23">
        <f>IFERROR((W14-W270)/W270,"-")</f>
        <v/>
      </c>
      <c r="X522" s="22">
        <f>IFERROR((X14-X270)/X270,"-")</f>
        <v/>
      </c>
    </row>
    <row r="523">
      <c r="A523" s="9" t="inlineStr">
        <is>
          <t>APP</t>
        </is>
      </c>
      <c r="D523" s="22">
        <f>IFERROR((D15-D271)/D271,"-")</f>
        <v/>
      </c>
      <c r="E523" s="14">
        <f>IFERROR((E15-E271)/E271,"-")</f>
        <v/>
      </c>
      <c r="F523" s="14">
        <f>IFERROR((F15-F271)/F271,"-")</f>
        <v/>
      </c>
      <c r="G523" s="14">
        <f>IFERROR((G15-G271)/G271,"-")</f>
        <v/>
      </c>
      <c r="H523" s="23">
        <f>IFERROR((H15-H271)/H271,"-")</f>
        <v/>
      </c>
      <c r="I523" s="22">
        <f>IFERROR((I15-I271)/I271,"-")</f>
        <v/>
      </c>
      <c r="J523" s="14">
        <f>IFERROR((J15-J271)/J271,"-")</f>
        <v/>
      </c>
      <c r="K523" s="14">
        <f>IFERROR((K15-K271)/K271,"-")</f>
        <v/>
      </c>
      <c r="L523" s="14">
        <f>IFERROR((L15-L271)/L271,"-")</f>
        <v/>
      </c>
      <c r="M523" s="23">
        <f>IFERROR((M15-M271)/M271,"-")</f>
        <v/>
      </c>
      <c r="N523" s="22">
        <f>IFERROR((N15-N271)/N271,"-")</f>
        <v/>
      </c>
      <c r="O523" s="14">
        <f>IFERROR((O15-O271)/O271,"-")</f>
        <v/>
      </c>
      <c r="P523" s="14">
        <f>IFERROR((P15-P271)/P271,"-")</f>
        <v/>
      </c>
      <c r="Q523" s="14">
        <f>IFERROR((Q15-Q271)/Q271,"-")</f>
        <v/>
      </c>
      <c r="R523" s="23">
        <f>IFERROR((R15-R271)/R271,"-")</f>
        <v/>
      </c>
      <c r="S523" s="22">
        <f>IFERROR((S15-S271)/S271,"-")</f>
        <v/>
      </c>
      <c r="T523" s="14">
        <f>IFERROR((T15-T271)/T271,"-")</f>
        <v/>
      </c>
      <c r="U523" s="14">
        <f>IFERROR((U15-U271)/U271,"-")</f>
        <v/>
      </c>
      <c r="V523" s="14">
        <f>IFERROR((V15-V271)/V271,"-")</f>
        <v/>
      </c>
      <c r="W523" s="23">
        <f>IFERROR((W15-W271)/W271,"-")</f>
        <v/>
      </c>
      <c r="X523" s="22">
        <f>IFERROR((X15-X271)/X271,"-")</f>
        <v/>
      </c>
    </row>
    <row r="524">
      <c r="A524" s="9" t="inlineStr">
        <is>
          <t>CDNS</t>
        </is>
      </c>
      <c r="D524" s="22">
        <f>IFERROR((D16-D272)/D272,"-")</f>
        <v/>
      </c>
      <c r="E524" s="14">
        <f>IFERROR((E16-E272)/E272,"-")</f>
        <v/>
      </c>
      <c r="F524" s="14">
        <f>IFERROR((F16-F272)/F272,"-")</f>
        <v/>
      </c>
      <c r="G524" s="14">
        <f>IFERROR((G16-G272)/G272,"-")</f>
        <v/>
      </c>
      <c r="H524" s="23">
        <f>IFERROR((H16-H272)/H272,"-")</f>
        <v/>
      </c>
      <c r="I524" s="22">
        <f>IFERROR((I16-I272)/I272,"-")</f>
        <v/>
      </c>
      <c r="J524" s="14">
        <f>IFERROR((J16-J272)/J272,"-")</f>
        <v/>
      </c>
      <c r="K524" s="14">
        <f>IFERROR((K16-K272)/K272,"-")</f>
        <v/>
      </c>
      <c r="L524" s="14">
        <f>IFERROR((L16-L272)/L272,"-")</f>
        <v/>
      </c>
      <c r="M524" s="23">
        <f>IFERROR((M16-M272)/M272,"-")</f>
        <v/>
      </c>
      <c r="N524" s="22">
        <f>IFERROR((N16-N272)/N272,"-")</f>
        <v/>
      </c>
      <c r="O524" s="14">
        <f>IFERROR((O16-O272)/O272,"-")</f>
        <v/>
      </c>
      <c r="P524" s="14">
        <f>IFERROR((P16-P272)/P272,"-")</f>
        <v/>
      </c>
      <c r="Q524" s="14">
        <f>IFERROR((Q16-Q272)/Q272,"-")</f>
        <v/>
      </c>
      <c r="R524" s="23">
        <f>IFERROR((R16-R272)/R272,"-")</f>
        <v/>
      </c>
      <c r="S524" s="22">
        <f>IFERROR((S16-S272)/S272,"-")</f>
        <v/>
      </c>
      <c r="T524" s="14">
        <f>IFERROR((T16-T272)/T272,"-")</f>
        <v/>
      </c>
      <c r="U524" s="14">
        <f>IFERROR((U16-U272)/U272,"-")</f>
        <v/>
      </c>
      <c r="V524" s="14">
        <f>IFERROR((V16-V272)/V272,"-")</f>
        <v/>
      </c>
      <c r="W524" s="23">
        <f>IFERROR((W16-W272)/W272,"-")</f>
        <v/>
      </c>
      <c r="X524" s="22">
        <f>IFERROR((X16-X272)/X272,"-")</f>
        <v/>
      </c>
    </row>
    <row r="525">
      <c r="A525" s="9" t="inlineStr">
        <is>
          <t>CRWD</t>
        </is>
      </c>
      <c r="D525" s="22">
        <f>IFERROR((D17-D273)/D273,"-")</f>
        <v/>
      </c>
      <c r="E525" s="14">
        <f>IFERROR((E17-E273)/E273,"-")</f>
        <v/>
      </c>
      <c r="F525" s="14">
        <f>IFERROR((F17-F273)/F273,"-")</f>
        <v/>
      </c>
      <c r="G525" s="14">
        <f>IFERROR((G17-G273)/G273,"-")</f>
        <v/>
      </c>
      <c r="H525" s="23">
        <f>IFERROR((H17-H273)/H273,"-")</f>
        <v/>
      </c>
      <c r="I525" s="22">
        <f>IFERROR((I17-I273)/I273,"-")</f>
        <v/>
      </c>
      <c r="J525" s="14">
        <f>IFERROR((J17-J273)/J273,"-")</f>
        <v/>
      </c>
      <c r="K525" s="14">
        <f>IFERROR((K17-K273)/K273,"-")</f>
        <v/>
      </c>
      <c r="L525" s="14">
        <f>IFERROR((L17-L273)/L273,"-")</f>
        <v/>
      </c>
      <c r="M525" s="23">
        <f>IFERROR((M17-M273)/M273,"-")</f>
        <v/>
      </c>
      <c r="N525" s="22">
        <f>IFERROR((N17-N273)/N273,"-")</f>
        <v/>
      </c>
      <c r="O525" s="14">
        <f>IFERROR((O17-O273)/O273,"-")</f>
        <v/>
      </c>
      <c r="P525" s="14">
        <f>IFERROR((P17-P273)/P273,"-")</f>
        <v/>
      </c>
      <c r="Q525" s="14">
        <f>IFERROR((Q17-Q273)/Q273,"-")</f>
        <v/>
      </c>
      <c r="R525" s="23">
        <f>IFERROR((R17-R273)/R273,"-")</f>
        <v/>
      </c>
      <c r="S525" s="22">
        <f>IFERROR((S17-S273)/S273,"-")</f>
        <v/>
      </c>
      <c r="T525" s="14">
        <f>IFERROR((T17-T273)/T273,"-")</f>
        <v/>
      </c>
      <c r="U525" s="14">
        <f>IFERROR((U17-U273)/U273,"-")</f>
        <v/>
      </c>
      <c r="V525" s="14">
        <f>IFERROR((V17-V273)/V273,"-")</f>
        <v/>
      </c>
      <c r="W525" s="23">
        <f>IFERROR((W17-W273)/W273,"-")</f>
        <v/>
      </c>
      <c r="X525" s="22">
        <f>IFERROR((X17-X273)/X273,"-")</f>
        <v/>
      </c>
    </row>
    <row r="526">
      <c r="A526" s="9" t="inlineStr">
        <is>
          <t>SNOW</t>
        </is>
      </c>
      <c r="D526" s="22">
        <f>IFERROR((D18-D274)/D274,"-")</f>
        <v/>
      </c>
      <c r="E526" s="14">
        <f>IFERROR((E18-E274)/E274,"-")</f>
        <v/>
      </c>
      <c r="F526" s="14">
        <f>IFERROR((F18-F274)/F274,"-")</f>
        <v/>
      </c>
      <c r="G526" s="14">
        <f>IFERROR((G18-G274)/G274,"-")</f>
        <v/>
      </c>
      <c r="H526" s="23">
        <f>IFERROR((H18-H274)/H274,"-")</f>
        <v/>
      </c>
      <c r="I526" s="22">
        <f>IFERROR((I18-I274)/I274,"-")</f>
        <v/>
      </c>
      <c r="J526" s="14">
        <f>IFERROR((J18-J274)/J274,"-")</f>
        <v/>
      </c>
      <c r="K526" s="14">
        <f>IFERROR((K18-K274)/K274,"-")</f>
        <v/>
      </c>
      <c r="L526" s="14">
        <f>IFERROR((L18-L274)/L274,"-")</f>
        <v/>
      </c>
      <c r="M526" s="23">
        <f>IFERROR((M18-M274)/M274,"-")</f>
        <v/>
      </c>
      <c r="N526" s="22">
        <f>IFERROR((N18-N274)/N274,"-")</f>
        <v/>
      </c>
      <c r="O526" s="14">
        <f>IFERROR((O18-O274)/O274,"-")</f>
        <v/>
      </c>
      <c r="P526" s="14">
        <f>IFERROR((P18-P274)/P274,"-")</f>
        <v/>
      </c>
      <c r="Q526" s="14">
        <f>IFERROR((Q18-Q274)/Q274,"-")</f>
        <v/>
      </c>
      <c r="R526" s="23">
        <f>IFERROR((R18-R274)/R274,"-")</f>
        <v/>
      </c>
      <c r="S526" s="22">
        <f>IFERROR((S18-S274)/S274,"-")</f>
        <v/>
      </c>
      <c r="T526" s="14">
        <f>IFERROR((T18-T274)/T274,"-")</f>
        <v/>
      </c>
      <c r="U526" s="14">
        <f>IFERROR((U18-U274)/U274,"-")</f>
        <v/>
      </c>
      <c r="V526" s="14">
        <f>IFERROR((V18-V274)/V274,"-")</f>
        <v/>
      </c>
      <c r="W526" s="23">
        <f>IFERROR((W18-W274)/W274,"-")</f>
        <v/>
      </c>
      <c r="X526" s="22">
        <f>IFERROR((X18-X274)/X274,"-")</f>
        <v/>
      </c>
    </row>
    <row r="527">
      <c r="A527" s="9" t="inlineStr">
        <is>
          <t>PLTR</t>
        </is>
      </c>
      <c r="D527" s="22">
        <f>IFERROR((D19-D275)/D275,"-")</f>
        <v/>
      </c>
      <c r="E527" s="14">
        <f>IFERROR((E19-E275)/E275,"-")</f>
        <v/>
      </c>
      <c r="F527" s="14">
        <f>IFERROR((F19-F275)/F275,"-")</f>
        <v/>
      </c>
      <c r="G527" s="14">
        <f>IFERROR((G19-G275)/G275,"-")</f>
        <v/>
      </c>
      <c r="H527" s="23">
        <f>IFERROR((H19-H275)/H275,"-")</f>
        <v/>
      </c>
      <c r="I527" s="22">
        <f>IFERROR((I19-I275)/I275,"-")</f>
        <v/>
      </c>
      <c r="J527" s="14">
        <f>IFERROR((J19-J275)/J275,"-")</f>
        <v/>
      </c>
      <c r="K527" s="14">
        <f>IFERROR((K19-K275)/K275,"-")</f>
        <v/>
      </c>
      <c r="L527" s="14">
        <f>IFERROR((L19-L275)/L275,"-")</f>
        <v/>
      </c>
      <c r="M527" s="23">
        <f>IFERROR((M19-M275)/M275,"-")</f>
        <v/>
      </c>
      <c r="N527" s="22">
        <f>IFERROR((N19-N275)/N275,"-")</f>
        <v/>
      </c>
      <c r="O527" s="14">
        <f>IFERROR((O19-O275)/O275,"-")</f>
        <v/>
      </c>
      <c r="P527" s="14">
        <f>IFERROR((P19-P275)/P275,"-")</f>
        <v/>
      </c>
      <c r="Q527" s="14">
        <f>IFERROR((Q19-Q275)/Q275,"-")</f>
        <v/>
      </c>
      <c r="R527" s="23">
        <f>IFERROR((R19-R275)/R275,"-")</f>
        <v/>
      </c>
      <c r="S527" s="22">
        <f>IFERROR((S19-S275)/S275,"-")</f>
        <v/>
      </c>
      <c r="T527" s="14">
        <f>IFERROR((T19-T275)/T275,"-")</f>
        <v/>
      </c>
      <c r="U527" s="14">
        <f>IFERROR((U19-U275)/U275,"-")</f>
        <v/>
      </c>
      <c r="V527" s="14">
        <f>IFERROR((V19-V275)/V275,"-")</f>
        <v/>
      </c>
      <c r="W527" s="23">
        <f>IFERROR((W19-W275)/W275,"-")</f>
        <v/>
      </c>
      <c r="X527" s="22">
        <f>IFERROR((X19-X275)/X275,"-")</f>
        <v/>
      </c>
    </row>
    <row r="528">
      <c r="A528" s="9" t="inlineStr">
        <is>
          <t>DDOG</t>
        </is>
      </c>
      <c r="D528" s="22">
        <f>IFERROR((D20-D276)/D276,"-")</f>
        <v/>
      </c>
      <c r="E528" s="14">
        <f>IFERROR((E20-E276)/E276,"-")</f>
        <v/>
      </c>
      <c r="F528" s="14">
        <f>IFERROR((F20-F276)/F276,"-")</f>
        <v/>
      </c>
      <c r="G528" s="14">
        <f>IFERROR((G20-G276)/G276,"-")</f>
        <v/>
      </c>
      <c r="H528" s="23">
        <f>IFERROR((H20-H276)/H276,"-")</f>
        <v/>
      </c>
      <c r="I528" s="22">
        <f>IFERROR((I20-I276)/I276,"-")</f>
        <v/>
      </c>
      <c r="J528" s="14">
        <f>IFERROR((J20-J276)/J276,"-")</f>
        <v/>
      </c>
      <c r="K528" s="14">
        <f>IFERROR((K20-K276)/K276,"-")</f>
        <v/>
      </c>
      <c r="L528" s="14">
        <f>IFERROR((L20-L276)/L276,"-")</f>
        <v/>
      </c>
      <c r="M528" s="23">
        <f>IFERROR((M20-M276)/M276,"-")</f>
        <v/>
      </c>
      <c r="N528" s="22">
        <f>IFERROR((N20-N276)/N276,"-")</f>
        <v/>
      </c>
      <c r="O528" s="14">
        <f>IFERROR((O20-O276)/O276,"-")</f>
        <v/>
      </c>
      <c r="P528" s="14">
        <f>IFERROR((P20-P276)/P276,"-")</f>
        <v/>
      </c>
      <c r="Q528" s="14">
        <f>IFERROR((Q20-Q276)/Q276,"-")</f>
        <v/>
      </c>
      <c r="R528" s="23">
        <f>IFERROR((R20-R276)/R276,"-")</f>
        <v/>
      </c>
      <c r="S528" s="22">
        <f>IFERROR((S20-S276)/S276,"-")</f>
        <v/>
      </c>
      <c r="T528" s="14">
        <f>IFERROR((T20-T276)/T276,"-")</f>
        <v/>
      </c>
      <c r="U528" s="14">
        <f>IFERROR((U20-U276)/U276,"-")</f>
        <v/>
      </c>
      <c r="V528" s="14">
        <f>IFERROR((V20-V276)/V276,"-")</f>
        <v/>
      </c>
      <c r="W528" s="23">
        <f>IFERROR((W20-W276)/W276,"-")</f>
        <v/>
      </c>
      <c r="X528" s="22">
        <f>IFERROR((X20-X276)/X276,"-")</f>
        <v/>
      </c>
    </row>
    <row r="529">
      <c r="A529" s="9" t="inlineStr">
        <is>
          <t>VEEV</t>
        </is>
      </c>
      <c r="D529" s="22">
        <f>IFERROR((D21-D277)/D277,"-")</f>
        <v/>
      </c>
      <c r="E529" s="14">
        <f>IFERROR((E21-E277)/E277,"-")</f>
        <v/>
      </c>
      <c r="F529" s="14">
        <f>IFERROR((F21-F277)/F277,"-")</f>
        <v/>
      </c>
      <c r="G529" s="14">
        <f>IFERROR((G21-G277)/G277,"-")</f>
        <v/>
      </c>
      <c r="H529" s="23">
        <f>IFERROR((H21-H277)/H277,"-")</f>
        <v/>
      </c>
      <c r="I529" s="22">
        <f>IFERROR((I21-I277)/I277,"-")</f>
        <v/>
      </c>
      <c r="J529" s="14">
        <f>IFERROR((J21-J277)/J277,"-")</f>
        <v/>
      </c>
      <c r="K529" s="14">
        <f>IFERROR((K21-K277)/K277,"-")</f>
        <v/>
      </c>
      <c r="L529" s="14">
        <f>IFERROR((L21-L277)/L277,"-")</f>
        <v/>
      </c>
      <c r="M529" s="23">
        <f>IFERROR((M21-M277)/M277,"-")</f>
        <v/>
      </c>
      <c r="N529" s="22">
        <f>IFERROR((N21-N277)/N277,"-")</f>
        <v/>
      </c>
      <c r="O529" s="14">
        <f>IFERROR((O21-O277)/O277,"-")</f>
        <v/>
      </c>
      <c r="P529" s="14">
        <f>IFERROR((P21-P277)/P277,"-")</f>
        <v/>
      </c>
      <c r="Q529" s="14">
        <f>IFERROR((Q21-Q277)/Q277,"-")</f>
        <v/>
      </c>
      <c r="R529" s="23">
        <f>IFERROR((R21-R277)/R277,"-")</f>
        <v/>
      </c>
      <c r="S529" s="22">
        <f>IFERROR((S21-S277)/S277,"-")</f>
        <v/>
      </c>
      <c r="T529" s="14">
        <f>IFERROR((T21-T277)/T277,"-")</f>
        <v/>
      </c>
      <c r="U529" s="14">
        <f>IFERROR((U21-U277)/U277,"-")</f>
        <v/>
      </c>
      <c r="V529" s="14">
        <f>IFERROR((V21-V277)/V277,"-")</f>
        <v/>
      </c>
      <c r="W529" s="23">
        <f>IFERROR((W21-W277)/W277,"-")</f>
        <v/>
      </c>
      <c r="X529" s="22">
        <f>IFERROR((X21-X277)/X277,"-")</f>
        <v/>
      </c>
    </row>
    <row r="530">
      <c r="A530" s="9" t="inlineStr">
        <is>
          <t>HUBS</t>
        </is>
      </c>
      <c r="D530" s="22">
        <f>IFERROR((D22-D278)/D278,"-")</f>
        <v/>
      </c>
      <c r="E530" s="14">
        <f>IFERROR((E22-E278)/E278,"-")</f>
        <v/>
      </c>
      <c r="F530" s="14">
        <f>IFERROR((F22-F278)/F278,"-")</f>
        <v/>
      </c>
      <c r="G530" s="14">
        <f>IFERROR((G22-G278)/G278,"-")</f>
        <v/>
      </c>
      <c r="H530" s="23">
        <f>IFERROR((H22-H278)/H278,"-")</f>
        <v/>
      </c>
      <c r="I530" s="22">
        <f>IFERROR((I22-I278)/I278,"-")</f>
        <v/>
      </c>
      <c r="J530" s="14">
        <f>IFERROR((J22-J278)/J278,"-")</f>
        <v/>
      </c>
      <c r="K530" s="14">
        <f>IFERROR((K22-K278)/K278,"-")</f>
        <v/>
      </c>
      <c r="L530" s="14">
        <f>IFERROR((L22-L278)/L278,"-")</f>
        <v/>
      </c>
      <c r="M530" s="23">
        <f>IFERROR((M22-M278)/M278,"-")</f>
        <v/>
      </c>
      <c r="N530" s="22">
        <f>IFERROR((N22-N278)/N278,"-")</f>
        <v/>
      </c>
      <c r="O530" s="14">
        <f>IFERROR((O22-O278)/O278,"-")</f>
        <v/>
      </c>
      <c r="P530" s="14">
        <f>IFERROR((P22-P278)/P278,"-")</f>
        <v/>
      </c>
      <c r="Q530" s="14">
        <f>IFERROR((Q22-Q278)/Q278,"-")</f>
        <v/>
      </c>
      <c r="R530" s="23">
        <f>IFERROR((R22-R278)/R278,"-")</f>
        <v/>
      </c>
      <c r="S530" s="22">
        <f>IFERROR((S22-S278)/S278,"-")</f>
        <v/>
      </c>
      <c r="T530" s="14">
        <f>IFERROR((T22-T278)/T278,"-")</f>
        <v/>
      </c>
      <c r="U530" s="14">
        <f>IFERROR((U22-U278)/U278,"-")</f>
        <v/>
      </c>
      <c r="V530" s="14">
        <f>IFERROR((V22-V278)/V278,"-")</f>
        <v/>
      </c>
      <c r="W530" s="23">
        <f>IFERROR((W22-W278)/W278,"-")</f>
        <v/>
      </c>
      <c r="X530" s="22">
        <f>IFERROR((X22-X278)/X278,"-")</f>
        <v/>
      </c>
    </row>
    <row r="531">
      <c r="A531" s="9" t="inlineStr">
        <is>
          <t>ZS</t>
        </is>
      </c>
      <c r="D531" s="22">
        <f>IFERROR((D23-D279)/D279,"-")</f>
        <v/>
      </c>
      <c r="E531" s="14">
        <f>IFERROR((E23-E279)/E279,"-")</f>
        <v/>
      </c>
      <c r="F531" s="14">
        <f>IFERROR((F23-F279)/F279,"-")</f>
        <v/>
      </c>
      <c r="G531" s="14">
        <f>IFERROR((G23-G279)/G279,"-")</f>
        <v/>
      </c>
      <c r="H531" s="23">
        <f>IFERROR((H23-H279)/H279,"-")</f>
        <v/>
      </c>
      <c r="I531" s="22">
        <f>IFERROR((I23-I279)/I279,"-")</f>
        <v/>
      </c>
      <c r="J531" s="14">
        <f>IFERROR((J23-J279)/J279,"-")</f>
        <v/>
      </c>
      <c r="K531" s="14">
        <f>IFERROR((K23-K279)/K279,"-")</f>
        <v/>
      </c>
      <c r="L531" s="14">
        <f>IFERROR((L23-L279)/L279,"-")</f>
        <v/>
      </c>
      <c r="M531" s="23">
        <f>IFERROR((M23-M279)/M279,"-")</f>
        <v/>
      </c>
      <c r="N531" s="22">
        <f>IFERROR((N23-N279)/N279,"-")</f>
        <v/>
      </c>
      <c r="O531" s="14">
        <f>IFERROR((O23-O279)/O279,"-")</f>
        <v/>
      </c>
      <c r="P531" s="14">
        <f>IFERROR((P23-P279)/P279,"-")</f>
        <v/>
      </c>
      <c r="Q531" s="14">
        <f>IFERROR((Q23-Q279)/Q279,"-")</f>
        <v/>
      </c>
      <c r="R531" s="23">
        <f>IFERROR((R23-R279)/R279,"-")</f>
        <v/>
      </c>
      <c r="S531" s="22">
        <f>IFERROR((S23-S279)/S279,"-")</f>
        <v/>
      </c>
      <c r="T531" s="14">
        <f>IFERROR((T23-T279)/T279,"-")</f>
        <v/>
      </c>
      <c r="U531" s="14">
        <f>IFERROR((U23-U279)/U279,"-")</f>
        <v/>
      </c>
      <c r="V531" s="14">
        <f>IFERROR((V23-V279)/V279,"-")</f>
        <v/>
      </c>
      <c r="W531" s="23">
        <f>IFERROR((W23-W279)/W279,"-")</f>
        <v/>
      </c>
      <c r="X531" s="22">
        <f>IFERROR((X23-X279)/X279,"-")</f>
        <v/>
      </c>
    </row>
    <row r="532">
      <c r="A532" s="9" t="inlineStr">
        <is>
          <t>OKTA</t>
        </is>
      </c>
      <c r="D532" s="22">
        <f>IFERROR((D24-D280)/D280,"-")</f>
        <v/>
      </c>
      <c r="E532" s="14">
        <f>IFERROR((E24-E280)/E280,"-")</f>
        <v/>
      </c>
      <c r="F532" s="14">
        <f>IFERROR((F24-F280)/F280,"-")</f>
        <v/>
      </c>
      <c r="G532" s="14">
        <f>IFERROR((G24-G280)/G280,"-")</f>
        <v/>
      </c>
      <c r="H532" s="23">
        <f>IFERROR((H24-H280)/H280,"-")</f>
        <v/>
      </c>
      <c r="I532" s="22">
        <f>IFERROR((I24-I280)/I280,"-")</f>
        <v/>
      </c>
      <c r="J532" s="14">
        <f>IFERROR((J24-J280)/J280,"-")</f>
        <v/>
      </c>
      <c r="K532" s="14">
        <f>IFERROR((K24-K280)/K280,"-")</f>
        <v/>
      </c>
      <c r="L532" s="14">
        <f>IFERROR((L24-L280)/L280,"-")</f>
        <v/>
      </c>
      <c r="M532" s="23">
        <f>IFERROR((M24-M280)/M280,"-")</f>
        <v/>
      </c>
      <c r="N532" s="22">
        <f>IFERROR((N24-N280)/N280,"-")</f>
        <v/>
      </c>
      <c r="O532" s="14">
        <f>IFERROR((O24-O280)/O280,"-")</f>
        <v/>
      </c>
      <c r="P532" s="14">
        <f>IFERROR((P24-P280)/P280,"-")</f>
        <v/>
      </c>
      <c r="Q532" s="14">
        <f>IFERROR((Q24-Q280)/Q280,"-")</f>
        <v/>
      </c>
      <c r="R532" s="23">
        <f>IFERROR((R24-R280)/R280,"-")</f>
        <v/>
      </c>
      <c r="S532" s="22">
        <f>IFERROR((S24-S280)/S280,"-")</f>
        <v/>
      </c>
      <c r="T532" s="14">
        <f>IFERROR((T24-T280)/T280,"-")</f>
        <v/>
      </c>
      <c r="U532" s="14">
        <f>IFERROR((U24-U280)/U280,"-")</f>
        <v/>
      </c>
      <c r="V532" s="14">
        <f>IFERROR((V24-V280)/V280,"-")</f>
        <v/>
      </c>
      <c r="W532" s="23">
        <f>IFERROR((W24-W280)/W280,"-")</f>
        <v/>
      </c>
      <c r="X532" s="22">
        <f>IFERROR((X24-X280)/X280,"-")</f>
        <v/>
      </c>
    </row>
    <row r="533">
      <c r="A533" s="9" t="inlineStr">
        <is>
          <t>TTD</t>
        </is>
      </c>
      <c r="D533" s="22">
        <f>IFERROR((D25-D281)/D281,"-")</f>
        <v/>
      </c>
      <c r="E533" s="14">
        <f>IFERROR((E25-E281)/E281,"-")</f>
        <v/>
      </c>
      <c r="F533" s="14">
        <f>IFERROR((F25-F281)/F281,"-")</f>
        <v/>
      </c>
      <c r="G533" s="14">
        <f>IFERROR((G25-G281)/G281,"-")</f>
        <v/>
      </c>
      <c r="H533" s="23">
        <f>IFERROR((H25-H281)/H281,"-")</f>
        <v/>
      </c>
      <c r="I533" s="22">
        <f>IFERROR((I25-I281)/I281,"-")</f>
        <v/>
      </c>
      <c r="J533" s="14">
        <f>IFERROR((J25-J281)/J281,"-")</f>
        <v/>
      </c>
      <c r="K533" s="14">
        <f>IFERROR((K25-K281)/K281,"-")</f>
        <v/>
      </c>
      <c r="L533" s="14">
        <f>IFERROR((L25-L281)/L281,"-")</f>
        <v/>
      </c>
      <c r="M533" s="23">
        <f>IFERROR((M25-M281)/M281,"-")</f>
        <v/>
      </c>
      <c r="N533" s="22">
        <f>IFERROR((N25-N281)/N281,"-")</f>
        <v/>
      </c>
      <c r="O533" s="14">
        <f>IFERROR((O25-O281)/O281,"-")</f>
        <v/>
      </c>
      <c r="P533" s="14">
        <f>IFERROR((P25-P281)/P281,"-")</f>
        <v/>
      </c>
      <c r="Q533" s="14">
        <f>IFERROR((Q25-Q281)/Q281,"-")</f>
        <v/>
      </c>
      <c r="R533" s="23">
        <f>IFERROR((R25-R281)/R281,"-")</f>
        <v/>
      </c>
      <c r="S533" s="22">
        <f>IFERROR((S25-S281)/S281,"-")</f>
        <v/>
      </c>
      <c r="T533" s="14">
        <f>IFERROR((T25-T281)/T281,"-")</f>
        <v/>
      </c>
      <c r="U533" s="14">
        <f>IFERROR((U25-U281)/U281,"-")</f>
        <v/>
      </c>
      <c r="V533" s="14">
        <f>IFERROR((V25-V281)/V281,"-")</f>
        <v/>
      </c>
      <c r="W533" s="23">
        <f>IFERROR((W25-W281)/W281,"-")</f>
        <v/>
      </c>
      <c r="X533" s="22">
        <f>IFERROR((X25-X281)/X281,"-")</f>
        <v/>
      </c>
    </row>
    <row r="534">
      <c r="A534" s="9" t="inlineStr">
        <is>
          <t>MDB</t>
        </is>
      </c>
      <c r="D534" s="22">
        <f>IFERROR((D26-D282)/D282,"-")</f>
        <v/>
      </c>
      <c r="E534" s="14">
        <f>IFERROR((E26-E282)/E282,"-")</f>
        <v/>
      </c>
      <c r="F534" s="14">
        <f>IFERROR((F26-F282)/F282,"-")</f>
        <v/>
      </c>
      <c r="G534" s="14">
        <f>IFERROR((G26-G282)/G282,"-")</f>
        <v/>
      </c>
      <c r="H534" s="23">
        <f>IFERROR((H26-H282)/H282,"-")</f>
        <v/>
      </c>
      <c r="I534" s="22">
        <f>IFERROR((I26-I282)/I282,"-")</f>
        <v/>
      </c>
      <c r="J534" s="14">
        <f>IFERROR((J26-J282)/J282,"-")</f>
        <v/>
      </c>
      <c r="K534" s="14">
        <f>IFERROR((K26-K282)/K282,"-")</f>
        <v/>
      </c>
      <c r="L534" s="14">
        <f>IFERROR((L26-L282)/L282,"-")</f>
        <v/>
      </c>
      <c r="M534" s="23">
        <f>IFERROR((M26-M282)/M282,"-")</f>
        <v/>
      </c>
      <c r="N534" s="22">
        <f>IFERROR((N26-N282)/N282,"-")</f>
        <v/>
      </c>
      <c r="O534" s="14">
        <f>IFERROR((O26-O282)/O282,"-")</f>
        <v/>
      </c>
      <c r="P534" s="14">
        <f>IFERROR((P26-P282)/P282,"-")</f>
        <v/>
      </c>
      <c r="Q534" s="14">
        <f>IFERROR((Q26-Q282)/Q282,"-")</f>
        <v/>
      </c>
      <c r="R534" s="23">
        <f>IFERROR((R26-R282)/R282,"-")</f>
        <v/>
      </c>
      <c r="S534" s="22">
        <f>IFERROR((S26-S282)/S282,"-")</f>
        <v/>
      </c>
      <c r="T534" s="14">
        <f>IFERROR((T26-T282)/T282,"-")</f>
        <v/>
      </c>
      <c r="U534" s="14">
        <f>IFERROR((U26-U282)/U282,"-")</f>
        <v/>
      </c>
      <c r="V534" s="14">
        <f>IFERROR((V26-V282)/V282,"-")</f>
        <v/>
      </c>
      <c r="W534" s="23">
        <f>IFERROR((W26-W282)/W282,"-")</f>
        <v/>
      </c>
      <c r="X534" s="22">
        <f>IFERROR((X26-X282)/X282,"-")</f>
        <v/>
      </c>
    </row>
    <row r="535">
      <c r="A535" s="9" t="inlineStr">
        <is>
          <t>PAYC</t>
        </is>
      </c>
      <c r="D535" s="22">
        <f>IFERROR((D27-D283)/D283,"-")</f>
        <v/>
      </c>
      <c r="E535" s="14">
        <f>IFERROR((E27-E283)/E283,"-")</f>
        <v/>
      </c>
      <c r="F535" s="14">
        <f>IFERROR((F27-F283)/F283,"-")</f>
        <v/>
      </c>
      <c r="G535" s="14">
        <f>IFERROR((G27-G283)/G283,"-")</f>
        <v/>
      </c>
      <c r="H535" s="23">
        <f>IFERROR((H27-H283)/H283,"-")</f>
        <v/>
      </c>
      <c r="I535" s="22">
        <f>IFERROR((I27-I283)/I283,"-")</f>
        <v/>
      </c>
      <c r="J535" s="14">
        <f>IFERROR((J27-J283)/J283,"-")</f>
        <v/>
      </c>
      <c r="K535" s="14">
        <f>IFERROR((K27-K283)/K283,"-")</f>
        <v/>
      </c>
      <c r="L535" s="14">
        <f>IFERROR((L27-L283)/L283,"-")</f>
        <v/>
      </c>
      <c r="M535" s="23">
        <f>IFERROR((M27-M283)/M283,"-")</f>
        <v/>
      </c>
      <c r="N535" s="22">
        <f>IFERROR((N27-N283)/N283,"-")</f>
        <v/>
      </c>
      <c r="O535" s="14">
        <f>IFERROR((O27-O283)/O283,"-")</f>
        <v/>
      </c>
      <c r="P535" s="14">
        <f>IFERROR((P27-P283)/P283,"-")</f>
        <v/>
      </c>
      <c r="Q535" s="14">
        <f>IFERROR((Q27-Q283)/Q283,"-")</f>
        <v/>
      </c>
      <c r="R535" s="23">
        <f>IFERROR((R27-R283)/R283,"-")</f>
        <v/>
      </c>
      <c r="S535" s="22">
        <f>IFERROR((S27-S283)/S283,"-")</f>
        <v/>
      </c>
      <c r="T535" s="14">
        <f>IFERROR((T27-T283)/T283,"-")</f>
        <v/>
      </c>
      <c r="U535" s="14">
        <f>IFERROR((U27-U283)/U283,"-")</f>
        <v/>
      </c>
      <c r="V535" s="14">
        <f>IFERROR((V27-V283)/V283,"-")</f>
        <v/>
      </c>
      <c r="W535" s="23">
        <f>IFERROR((W27-W283)/W283,"-")</f>
        <v/>
      </c>
      <c r="X535" s="22">
        <f>IFERROR((X27-X283)/X283,"-")</f>
        <v/>
      </c>
    </row>
    <row r="536">
      <c r="A536" s="9" t="inlineStr">
        <is>
          <t>DT</t>
        </is>
      </c>
      <c r="D536" s="22">
        <f>IFERROR((D28-D284)/D284,"-")</f>
        <v/>
      </c>
      <c r="E536" s="14">
        <f>IFERROR((E28-E284)/E284,"-")</f>
        <v/>
      </c>
      <c r="F536" s="14">
        <f>IFERROR((F28-F284)/F284,"-")</f>
        <v/>
      </c>
      <c r="G536" s="14">
        <f>IFERROR((G28-G284)/G284,"-")</f>
        <v/>
      </c>
      <c r="H536" s="23">
        <f>IFERROR((H28-H284)/H284,"-")</f>
        <v/>
      </c>
      <c r="I536" s="22">
        <f>IFERROR((I28-I284)/I284,"-")</f>
        <v/>
      </c>
      <c r="J536" s="14">
        <f>IFERROR((J28-J284)/J284,"-")</f>
        <v/>
      </c>
      <c r="K536" s="14">
        <f>IFERROR((K28-K284)/K284,"-")</f>
        <v/>
      </c>
      <c r="L536" s="14">
        <f>IFERROR((L28-L284)/L284,"-")</f>
        <v/>
      </c>
      <c r="M536" s="23">
        <f>IFERROR((M28-M284)/M284,"-")</f>
        <v/>
      </c>
      <c r="N536" s="22">
        <f>IFERROR((N28-N284)/N284,"-")</f>
        <v/>
      </c>
      <c r="O536" s="14">
        <f>IFERROR((O28-O284)/O284,"-")</f>
        <v/>
      </c>
      <c r="P536" s="14">
        <f>IFERROR((P28-P284)/P284,"-")</f>
        <v/>
      </c>
      <c r="Q536" s="14">
        <f>IFERROR((Q28-Q284)/Q284,"-")</f>
        <v/>
      </c>
      <c r="R536" s="23">
        <f>IFERROR((R28-R284)/R284,"-")</f>
        <v/>
      </c>
      <c r="S536" s="22">
        <f>IFERROR((S28-S284)/S284,"-")</f>
        <v/>
      </c>
      <c r="T536" s="14">
        <f>IFERROR((T28-T284)/T284,"-")</f>
        <v/>
      </c>
      <c r="U536" s="14">
        <f>IFERROR((U28-U284)/U284,"-")</f>
        <v/>
      </c>
      <c r="V536" s="14">
        <f>IFERROR((V28-V284)/V284,"-")</f>
        <v/>
      </c>
      <c r="W536" s="23">
        <f>IFERROR((W28-W284)/W284,"-")</f>
        <v/>
      </c>
      <c r="X536" s="22">
        <f>IFERROR((X28-X284)/X284,"-")</f>
        <v/>
      </c>
    </row>
    <row r="537">
      <c r="A537" s="9" t="inlineStr">
        <is>
          <t>PCTY</t>
        </is>
      </c>
      <c r="D537" s="22">
        <f>IFERROR((D29-D285)/D285,"-")</f>
        <v/>
      </c>
      <c r="E537" s="14">
        <f>IFERROR((E29-E285)/E285,"-")</f>
        <v/>
      </c>
      <c r="F537" s="14">
        <f>IFERROR((F29-F285)/F285,"-")</f>
        <v/>
      </c>
      <c r="G537" s="14">
        <f>IFERROR((G29-G285)/G285,"-")</f>
        <v/>
      </c>
      <c r="H537" s="23">
        <f>IFERROR((H29-H285)/H285,"-")</f>
        <v/>
      </c>
      <c r="I537" s="22">
        <f>IFERROR((I29-I285)/I285,"-")</f>
        <v/>
      </c>
      <c r="J537" s="14">
        <f>IFERROR((J29-J285)/J285,"-")</f>
        <v/>
      </c>
      <c r="K537" s="14">
        <f>IFERROR((K29-K285)/K285,"-")</f>
        <v/>
      </c>
      <c r="L537" s="14">
        <f>IFERROR((L29-L285)/L285,"-")</f>
        <v/>
      </c>
      <c r="M537" s="23">
        <f>IFERROR((M29-M285)/M285,"-")</f>
        <v/>
      </c>
      <c r="N537" s="22">
        <f>IFERROR((N29-N285)/N285,"-")</f>
        <v/>
      </c>
      <c r="O537" s="14">
        <f>IFERROR((O29-O285)/O285,"-")</f>
        <v/>
      </c>
      <c r="P537" s="14">
        <f>IFERROR((P29-P285)/P285,"-")</f>
        <v/>
      </c>
      <c r="Q537" s="14">
        <f>IFERROR((Q29-Q285)/Q285,"-")</f>
        <v/>
      </c>
      <c r="R537" s="23">
        <f>IFERROR((R29-R285)/R285,"-")</f>
        <v/>
      </c>
      <c r="S537" s="22">
        <f>IFERROR((S29-S285)/S285,"-")</f>
        <v/>
      </c>
      <c r="T537" s="14">
        <f>IFERROR((T29-T285)/T285,"-")</f>
        <v/>
      </c>
      <c r="U537" s="14">
        <f>IFERROR((U29-U285)/U285,"-")</f>
        <v/>
      </c>
      <c r="V537" s="14">
        <f>IFERROR((V29-V285)/V285,"-")</f>
        <v/>
      </c>
      <c r="W537" s="23">
        <f>IFERROR((W29-W285)/W285,"-")</f>
        <v/>
      </c>
      <c r="X537" s="22">
        <f>IFERROR((X29-X285)/X285,"-")</f>
        <v/>
      </c>
    </row>
    <row r="538">
      <c r="A538" s="9" t="inlineStr">
        <is>
          <t>ESTC</t>
        </is>
      </c>
      <c r="D538" s="22">
        <f>IFERROR((D30-D286)/D286,"-")</f>
        <v/>
      </c>
      <c r="E538" s="14">
        <f>IFERROR((E30-E286)/E286,"-")</f>
        <v/>
      </c>
      <c r="F538" s="14">
        <f>IFERROR((F30-F286)/F286,"-")</f>
        <v/>
      </c>
      <c r="G538" s="14">
        <f>IFERROR((G30-G286)/G286,"-")</f>
        <v/>
      </c>
      <c r="H538" s="23">
        <f>IFERROR((H30-H286)/H286,"-")</f>
        <v/>
      </c>
      <c r="I538" s="22">
        <f>IFERROR((I30-I286)/I286,"-")</f>
        <v/>
      </c>
      <c r="J538" s="14">
        <f>IFERROR((J30-J286)/J286,"-")</f>
        <v/>
      </c>
      <c r="K538" s="14">
        <f>IFERROR((K30-K286)/K286,"-")</f>
        <v/>
      </c>
      <c r="L538" s="14">
        <f>IFERROR((L30-L286)/L286,"-")</f>
        <v/>
      </c>
      <c r="M538" s="23">
        <f>IFERROR((M30-M286)/M286,"-")</f>
        <v/>
      </c>
      <c r="N538" s="22">
        <f>IFERROR((N30-N286)/N286,"-")</f>
        <v/>
      </c>
      <c r="O538" s="14">
        <f>IFERROR((O30-O286)/O286,"-")</f>
        <v/>
      </c>
      <c r="P538" s="14">
        <f>IFERROR((P30-P286)/P286,"-")</f>
        <v/>
      </c>
      <c r="Q538" s="14">
        <f>IFERROR((Q30-Q286)/Q286,"-")</f>
        <v/>
      </c>
      <c r="R538" s="23">
        <f>IFERROR((R30-R286)/R286,"-")</f>
        <v/>
      </c>
      <c r="S538" s="22">
        <f>IFERROR((S30-S286)/S286,"-")</f>
        <v/>
      </c>
      <c r="T538" s="14">
        <f>IFERROR((T30-T286)/T286,"-")</f>
        <v/>
      </c>
      <c r="U538" s="14">
        <f>IFERROR((U30-U286)/U286,"-")</f>
        <v/>
      </c>
      <c r="V538" s="14">
        <f>IFERROR((V30-V286)/V286,"-")</f>
        <v/>
      </c>
      <c r="W538" s="23">
        <f>IFERROR((W30-W286)/W286,"-")</f>
        <v/>
      </c>
      <c r="X538" s="22">
        <f>IFERROR((X30-X286)/X286,"-")</f>
        <v/>
      </c>
    </row>
    <row r="539">
      <c r="A539" s="9" t="inlineStr">
        <is>
          <t>BILL</t>
        </is>
      </c>
      <c r="D539" s="22">
        <f>IFERROR((D31-D287)/D287,"-")</f>
        <v/>
      </c>
      <c r="E539" s="14">
        <f>IFERROR((E31-E287)/E287,"-")</f>
        <v/>
      </c>
      <c r="F539" s="14">
        <f>IFERROR((F31-F287)/F287,"-")</f>
        <v/>
      </c>
      <c r="G539" s="14">
        <f>IFERROR((G31-G287)/G287,"-")</f>
        <v/>
      </c>
      <c r="H539" s="23">
        <f>IFERROR((H31-H287)/H287,"-")</f>
        <v/>
      </c>
      <c r="I539" s="22">
        <f>IFERROR((I31-I287)/I287,"-")</f>
        <v/>
      </c>
      <c r="J539" s="14">
        <f>IFERROR((J31-J287)/J287,"-")</f>
        <v/>
      </c>
      <c r="K539" s="14">
        <f>IFERROR((K31-K287)/K287,"-")</f>
        <v/>
      </c>
      <c r="L539" s="14">
        <f>IFERROR((L31-L287)/L287,"-")</f>
        <v/>
      </c>
      <c r="M539" s="23">
        <f>IFERROR((M31-M287)/M287,"-")</f>
        <v/>
      </c>
      <c r="N539" s="22">
        <f>IFERROR((N31-N287)/N287,"-")</f>
        <v/>
      </c>
      <c r="O539" s="14">
        <f>IFERROR((O31-O287)/O287,"-")</f>
        <v/>
      </c>
      <c r="P539" s="14">
        <f>IFERROR((P31-P287)/P287,"-")</f>
        <v/>
      </c>
      <c r="Q539" s="14">
        <f>IFERROR((Q31-Q287)/Q287,"-")</f>
        <v/>
      </c>
      <c r="R539" s="23">
        <f>IFERROR((R31-R287)/R287,"-")</f>
        <v/>
      </c>
      <c r="S539" s="22">
        <f>IFERROR((S31-S287)/S287,"-")</f>
        <v/>
      </c>
      <c r="T539" s="14">
        <f>IFERROR((T31-T287)/T287,"-")</f>
        <v/>
      </c>
      <c r="U539" s="14">
        <f>IFERROR((U31-U287)/U287,"-")</f>
        <v/>
      </c>
      <c r="V539" s="14">
        <f>IFERROR((V31-V287)/V287,"-")</f>
        <v/>
      </c>
      <c r="W539" s="23">
        <f>IFERROR((W31-W287)/W287,"-")</f>
        <v/>
      </c>
      <c r="X539" s="22">
        <f>IFERROR((X31-X287)/X287,"-")</f>
        <v/>
      </c>
    </row>
    <row r="540">
      <c r="A540" s="9" t="inlineStr">
        <is>
          <t>BSY</t>
        </is>
      </c>
      <c r="D540" s="22">
        <f>IFERROR((D32-D288)/D288,"-")</f>
        <v/>
      </c>
      <c r="E540" s="14">
        <f>IFERROR((E32-E288)/E288,"-")</f>
        <v/>
      </c>
      <c r="F540" s="14">
        <f>IFERROR((F32-F288)/F288,"-")</f>
        <v/>
      </c>
      <c r="G540" s="14">
        <f>IFERROR((G32-G288)/G288,"-")</f>
        <v/>
      </c>
      <c r="H540" s="23">
        <f>IFERROR((H32-H288)/H288,"-")</f>
        <v/>
      </c>
      <c r="I540" s="22">
        <f>IFERROR((I32-I288)/I288,"-")</f>
        <v/>
      </c>
      <c r="J540" s="14">
        <f>IFERROR((J32-J288)/J288,"-")</f>
        <v/>
      </c>
      <c r="K540" s="14">
        <f>IFERROR((K32-K288)/K288,"-")</f>
        <v/>
      </c>
      <c r="L540" s="14">
        <f>IFERROR((L32-L288)/L288,"-")</f>
        <v/>
      </c>
      <c r="M540" s="23">
        <f>IFERROR((M32-M288)/M288,"-")</f>
        <v/>
      </c>
      <c r="N540" s="22">
        <f>IFERROR((N32-N288)/N288,"-")</f>
        <v/>
      </c>
      <c r="O540" s="14">
        <f>IFERROR((O32-O288)/O288,"-")</f>
        <v/>
      </c>
      <c r="P540" s="14">
        <f>IFERROR((P32-P288)/P288,"-")</f>
        <v/>
      </c>
      <c r="Q540" s="14">
        <f>IFERROR((Q32-Q288)/Q288,"-")</f>
        <v/>
      </c>
      <c r="R540" s="23">
        <f>IFERROR((R32-R288)/R288,"-")</f>
        <v/>
      </c>
      <c r="S540" s="22">
        <f>IFERROR((S32-S288)/S288,"-")</f>
        <v/>
      </c>
      <c r="T540" s="14">
        <f>IFERROR((T32-T288)/T288,"-")</f>
        <v/>
      </c>
      <c r="U540" s="14">
        <f>IFERROR((U32-U288)/U288,"-")</f>
        <v/>
      </c>
      <c r="V540" s="14">
        <f>IFERROR((V32-V288)/V288,"-")</f>
        <v/>
      </c>
      <c r="W540" s="23">
        <f>IFERROR((W32-W288)/W288,"-")</f>
        <v/>
      </c>
      <c r="X540" s="22">
        <f>IFERROR((X32-X288)/X288,"-")</f>
        <v/>
      </c>
    </row>
    <row r="541">
      <c r="A541" s="9" t="inlineStr">
        <is>
          <t>GWRE</t>
        </is>
      </c>
      <c r="D541" s="22">
        <f>IFERROR((D33-D289)/D289,"-")</f>
        <v/>
      </c>
      <c r="E541" s="14">
        <f>IFERROR((E33-E289)/E289,"-")</f>
        <v/>
      </c>
      <c r="F541" s="14">
        <f>IFERROR((F33-F289)/F289,"-")</f>
        <v/>
      </c>
      <c r="G541" s="14">
        <f>IFERROR((G33-G289)/G289,"-")</f>
        <v/>
      </c>
      <c r="H541" s="23">
        <f>IFERROR((H33-H289)/H289,"-")</f>
        <v/>
      </c>
      <c r="I541" s="22">
        <f>IFERROR((I33-I289)/I289,"-")</f>
        <v/>
      </c>
      <c r="J541" s="14">
        <f>IFERROR((J33-J289)/J289,"-")</f>
        <v/>
      </c>
      <c r="K541" s="14">
        <f>IFERROR((K33-K289)/K289,"-")</f>
        <v/>
      </c>
      <c r="L541" s="14">
        <f>IFERROR((L33-L289)/L289,"-")</f>
        <v/>
      </c>
      <c r="M541" s="23">
        <f>IFERROR((M33-M289)/M289,"-")</f>
        <v/>
      </c>
      <c r="N541" s="22">
        <f>IFERROR((N33-N289)/N289,"-")</f>
        <v/>
      </c>
      <c r="O541" s="14">
        <f>IFERROR((O33-O289)/O289,"-")</f>
        <v/>
      </c>
      <c r="P541" s="14">
        <f>IFERROR((P33-P289)/P289,"-")</f>
        <v/>
      </c>
      <c r="Q541" s="14">
        <f>IFERROR((Q33-Q289)/Q289,"-")</f>
        <v/>
      </c>
      <c r="R541" s="23">
        <f>IFERROR((R33-R289)/R289,"-")</f>
        <v/>
      </c>
      <c r="S541" s="22">
        <f>IFERROR((S33-S289)/S289,"-")</f>
        <v/>
      </c>
      <c r="T541" s="14">
        <f>IFERROR((T33-T289)/T289,"-")</f>
        <v/>
      </c>
      <c r="U541" s="14">
        <f>IFERROR((U33-U289)/U289,"-")</f>
        <v/>
      </c>
      <c r="V541" s="14">
        <f>IFERROR((V33-V289)/V289,"-")</f>
        <v/>
      </c>
      <c r="W541" s="23">
        <f>IFERROR((W33-W289)/W289,"-")</f>
        <v/>
      </c>
      <c r="X541" s="22">
        <f>IFERROR((X33-X289)/X289,"-")</f>
        <v/>
      </c>
    </row>
    <row r="542">
      <c r="A542" s="9" t="inlineStr">
        <is>
          <t>PCOR</t>
        </is>
      </c>
      <c r="D542" s="22">
        <f>IFERROR((D34-D290)/D290,"-")</f>
        <v/>
      </c>
      <c r="E542" s="14">
        <f>IFERROR((E34-E290)/E290,"-")</f>
        <v/>
      </c>
      <c r="F542" s="14">
        <f>IFERROR((F34-F290)/F290,"-")</f>
        <v/>
      </c>
      <c r="G542" s="14">
        <f>IFERROR((G34-G290)/G290,"-")</f>
        <v/>
      </c>
      <c r="H542" s="23">
        <f>IFERROR((H34-H290)/H290,"-")</f>
        <v/>
      </c>
      <c r="I542" s="22">
        <f>IFERROR((I34-I290)/I290,"-")</f>
        <v/>
      </c>
      <c r="J542" s="14">
        <f>IFERROR((J34-J290)/J290,"-")</f>
        <v/>
      </c>
      <c r="K542" s="14">
        <f>IFERROR((K34-K290)/K290,"-")</f>
        <v/>
      </c>
      <c r="L542" s="14">
        <f>IFERROR((L34-L290)/L290,"-")</f>
        <v/>
      </c>
      <c r="M542" s="23">
        <f>IFERROR((M34-M290)/M290,"-")</f>
        <v/>
      </c>
      <c r="N542" s="22">
        <f>IFERROR((N34-N290)/N290,"-")</f>
        <v/>
      </c>
      <c r="O542" s="14">
        <f>IFERROR((O34-O290)/O290,"-")</f>
        <v/>
      </c>
      <c r="P542" s="14">
        <f>IFERROR((P34-P290)/P290,"-")</f>
        <v/>
      </c>
      <c r="Q542" s="14">
        <f>IFERROR((Q34-Q290)/Q290,"-")</f>
        <v/>
      </c>
      <c r="R542" s="23">
        <f>IFERROR((R34-R290)/R290,"-")</f>
        <v/>
      </c>
      <c r="S542" s="22">
        <f>IFERROR((S34-S290)/S290,"-")</f>
        <v/>
      </c>
      <c r="T542" s="14">
        <f>IFERROR((T34-T290)/T290,"-")</f>
        <v/>
      </c>
      <c r="U542" s="14">
        <f>IFERROR((U34-U290)/U290,"-")</f>
        <v/>
      </c>
      <c r="V542" s="14">
        <f>IFERROR((V34-V290)/V290,"-")</f>
        <v/>
      </c>
      <c r="W542" s="23">
        <f>IFERROR((W34-W290)/W290,"-")</f>
        <v/>
      </c>
      <c r="X542" s="22">
        <f>IFERROR((X34-X290)/X290,"-")</f>
        <v/>
      </c>
    </row>
    <row r="543">
      <c r="A543" s="9" t="inlineStr">
        <is>
          <t>ZI</t>
        </is>
      </c>
      <c r="D543" s="22">
        <f>IFERROR((D35-D291)/D291,"-")</f>
        <v/>
      </c>
      <c r="E543" s="14">
        <f>IFERROR((E35-E291)/E291,"-")</f>
        <v/>
      </c>
      <c r="F543" s="14">
        <f>IFERROR((F35-F291)/F291,"-")</f>
        <v/>
      </c>
      <c r="G543" s="14">
        <f>IFERROR((G35-G291)/G291,"-")</f>
        <v/>
      </c>
      <c r="H543" s="23">
        <f>IFERROR((H35-H291)/H291,"-")</f>
        <v/>
      </c>
      <c r="I543" s="22">
        <f>IFERROR((I35-I291)/I291,"-")</f>
        <v/>
      </c>
      <c r="J543" s="14">
        <f>IFERROR((J35-J291)/J291,"-")</f>
        <v/>
      </c>
      <c r="K543" s="14">
        <f>IFERROR((K35-K291)/K291,"-")</f>
        <v/>
      </c>
      <c r="L543" s="14">
        <f>IFERROR((L35-L291)/L291,"-")</f>
        <v/>
      </c>
      <c r="M543" s="23">
        <f>IFERROR((M35-M291)/M291,"-")</f>
        <v/>
      </c>
      <c r="N543" s="22">
        <f>IFERROR((N35-N291)/N291,"-")</f>
        <v/>
      </c>
      <c r="O543" s="14">
        <f>IFERROR((O35-O291)/O291,"-")</f>
        <v/>
      </c>
      <c r="P543" s="14">
        <f>IFERROR((P35-P291)/P291,"-")</f>
        <v/>
      </c>
      <c r="Q543" s="14">
        <f>IFERROR((Q35-Q291)/Q291,"-")</f>
        <v/>
      </c>
      <c r="R543" s="23">
        <f>IFERROR((R35-R291)/R291,"-")</f>
        <v/>
      </c>
      <c r="S543" s="22">
        <f>IFERROR((S35-S291)/S291,"-")</f>
        <v/>
      </c>
      <c r="T543" s="14">
        <f>IFERROR((T35-T291)/T291,"-")</f>
        <v/>
      </c>
      <c r="U543" s="14">
        <f>IFERROR((U35-U291)/U291,"-")</f>
        <v/>
      </c>
      <c r="V543" s="14">
        <f>IFERROR((V35-V291)/V291,"-")</f>
        <v/>
      </c>
      <c r="W543" s="23">
        <f>IFERROR((W35-W291)/W291,"-")</f>
        <v/>
      </c>
      <c r="X543" s="22">
        <f>IFERROR((X35-X291)/X291,"-")</f>
        <v/>
      </c>
    </row>
    <row r="544">
      <c r="A544" s="9" t="inlineStr">
        <is>
          <t>KVYO</t>
        </is>
      </c>
      <c r="D544" s="22">
        <f>IFERROR((D36-D292)/D292,"-")</f>
        <v/>
      </c>
      <c r="E544" s="14">
        <f>IFERROR((E36-E292)/E292,"-")</f>
        <v/>
      </c>
      <c r="F544" s="14">
        <f>IFERROR((F36-F292)/F292,"-")</f>
        <v/>
      </c>
      <c r="G544" s="14">
        <f>IFERROR((G36-G292)/G292,"-")</f>
        <v/>
      </c>
      <c r="H544" s="23">
        <f>IFERROR((H36-H292)/H292,"-")</f>
        <v/>
      </c>
      <c r="I544" s="22">
        <f>IFERROR((I36-I292)/I292,"-")</f>
        <v/>
      </c>
      <c r="J544" s="14">
        <f>IFERROR((J36-J292)/J292,"-")</f>
        <v/>
      </c>
      <c r="K544" s="14">
        <f>IFERROR((K36-K292)/K292,"-")</f>
        <v/>
      </c>
      <c r="L544" s="14">
        <f>IFERROR((L36-L292)/L292,"-")</f>
        <v/>
      </c>
      <c r="M544" s="23">
        <f>IFERROR((M36-M292)/M292,"-")</f>
        <v/>
      </c>
      <c r="N544" s="22">
        <f>IFERROR((N36-N292)/N292,"-")</f>
        <v/>
      </c>
      <c r="O544" s="14">
        <f>IFERROR((O36-O292)/O292,"-")</f>
        <v/>
      </c>
      <c r="P544" s="14">
        <f>IFERROR((P36-P292)/P292,"-")</f>
        <v/>
      </c>
      <c r="Q544" s="14">
        <f>IFERROR((Q36-Q292)/Q292,"-")</f>
        <v/>
      </c>
      <c r="R544" s="23">
        <f>IFERROR((R36-R292)/R292,"-")</f>
        <v/>
      </c>
      <c r="S544" s="22">
        <f>IFERROR((S36-S292)/S292,"-")</f>
        <v/>
      </c>
      <c r="T544" s="14">
        <f>IFERROR((T36-T292)/T292,"-")</f>
        <v/>
      </c>
      <c r="U544" s="14">
        <f>IFERROR((U36-U292)/U292,"-")</f>
        <v/>
      </c>
      <c r="V544" s="14">
        <f>IFERROR((V36-V292)/V292,"-")</f>
        <v/>
      </c>
      <c r="W544" s="23">
        <f>IFERROR((W36-W292)/W292,"-")</f>
        <v/>
      </c>
      <c r="X544" s="22">
        <f>IFERROR((X36-X292)/X292,"-")</f>
        <v/>
      </c>
    </row>
    <row r="545">
      <c r="A545" s="9" t="inlineStr">
        <is>
          <t>MNDY</t>
        </is>
      </c>
      <c r="D545" s="22">
        <f>IFERROR((D37-D293)/D293,"-")</f>
        <v/>
      </c>
      <c r="E545" s="14">
        <f>IFERROR((E37-E293)/E293,"-")</f>
        <v/>
      </c>
      <c r="F545" s="14">
        <f>IFERROR((F37-F293)/F293,"-")</f>
        <v/>
      </c>
      <c r="G545" s="14">
        <f>IFERROR((G37-G293)/G293,"-")</f>
        <v/>
      </c>
      <c r="H545" s="23">
        <f>IFERROR((H37-H293)/H293,"-")</f>
        <v/>
      </c>
      <c r="I545" s="22">
        <f>IFERROR((I37-I293)/I293,"-")</f>
        <v/>
      </c>
      <c r="J545" s="14">
        <f>IFERROR((J37-J293)/J293,"-")</f>
        <v/>
      </c>
      <c r="K545" s="14">
        <f>IFERROR((K37-K293)/K293,"-")</f>
        <v/>
      </c>
      <c r="L545" s="14">
        <f>IFERROR((L37-L293)/L293,"-")</f>
        <v/>
      </c>
      <c r="M545" s="23">
        <f>IFERROR((M37-M293)/M293,"-")</f>
        <v/>
      </c>
      <c r="N545" s="22">
        <f>IFERROR((N37-N293)/N293,"-")</f>
        <v/>
      </c>
      <c r="O545" s="14">
        <f>IFERROR((O37-O293)/O293,"-")</f>
        <v/>
      </c>
      <c r="P545" s="14">
        <f>IFERROR((P37-P293)/P293,"-")</f>
        <v/>
      </c>
      <c r="Q545" s="14">
        <f>IFERROR((Q37-Q293)/Q293,"-")</f>
        <v/>
      </c>
      <c r="R545" s="23">
        <f>IFERROR((R37-R293)/R293,"-")</f>
        <v/>
      </c>
      <c r="S545" s="22">
        <f>IFERROR((S37-S293)/S293,"-")</f>
        <v/>
      </c>
      <c r="T545" s="14">
        <f>IFERROR((T37-T293)/T293,"-")</f>
        <v/>
      </c>
      <c r="U545" s="14">
        <f>IFERROR((U37-U293)/U293,"-")</f>
        <v/>
      </c>
      <c r="V545" s="14">
        <f>IFERROR((V37-V293)/V293,"-")</f>
        <v/>
      </c>
      <c r="W545" s="23">
        <f>IFERROR((W37-W293)/W293,"-")</f>
        <v/>
      </c>
      <c r="X545" s="22">
        <f>IFERROR((X37-X293)/X293,"-")</f>
        <v/>
      </c>
    </row>
    <row r="546">
      <c r="A546" s="9" t="inlineStr">
        <is>
          <t>CFLT</t>
        </is>
      </c>
      <c r="D546" s="22">
        <f>IFERROR((D38-D294)/D294,"-")</f>
        <v/>
      </c>
      <c r="E546" s="14">
        <f>IFERROR((E38-E294)/E294,"-")</f>
        <v/>
      </c>
      <c r="F546" s="14">
        <f>IFERROR((F38-F294)/F294,"-")</f>
        <v/>
      </c>
      <c r="G546" s="14">
        <f>IFERROR((G38-G294)/G294,"-")</f>
        <v/>
      </c>
      <c r="H546" s="23">
        <f>IFERROR((H38-H294)/H294,"-")</f>
        <v/>
      </c>
      <c r="I546" s="22">
        <f>IFERROR((I38-I294)/I294,"-")</f>
        <v/>
      </c>
      <c r="J546" s="14">
        <f>IFERROR((J38-J294)/J294,"-")</f>
        <v/>
      </c>
      <c r="K546" s="14">
        <f>IFERROR((K38-K294)/K294,"-")</f>
        <v/>
      </c>
      <c r="L546" s="14">
        <f>IFERROR((L38-L294)/L294,"-")</f>
        <v/>
      </c>
      <c r="M546" s="23">
        <f>IFERROR((M38-M294)/M294,"-")</f>
        <v/>
      </c>
      <c r="N546" s="22">
        <f>IFERROR((N38-N294)/N294,"-")</f>
        <v/>
      </c>
      <c r="O546" s="14">
        <f>IFERROR((O38-O294)/O294,"-")</f>
        <v/>
      </c>
      <c r="P546" s="14">
        <f>IFERROR((P38-P294)/P294,"-")</f>
        <v/>
      </c>
      <c r="Q546" s="14">
        <f>IFERROR((Q38-Q294)/Q294,"-")</f>
        <v/>
      </c>
      <c r="R546" s="23">
        <f>IFERROR((R38-R294)/R294,"-")</f>
        <v/>
      </c>
      <c r="S546" s="22">
        <f>IFERROR((S38-S294)/S294,"-")</f>
        <v/>
      </c>
      <c r="T546" s="14">
        <f>IFERROR((T38-T294)/T294,"-")</f>
        <v/>
      </c>
      <c r="U546" s="14">
        <f>IFERROR((U38-U294)/U294,"-")</f>
        <v/>
      </c>
      <c r="V546" s="14">
        <f>IFERROR((V38-V294)/V294,"-")</f>
        <v/>
      </c>
      <c r="W546" s="23">
        <f>IFERROR((W38-W294)/W294,"-")</f>
        <v/>
      </c>
      <c r="X546" s="22">
        <f>IFERROR((X38-X294)/X294,"-")</f>
        <v/>
      </c>
    </row>
    <row r="547">
      <c r="A547" s="9" t="inlineStr">
        <is>
          <t>AZPN</t>
        </is>
      </c>
      <c r="D547" s="22">
        <f>IFERROR((D39-D295)/D295,"-")</f>
        <v/>
      </c>
      <c r="E547" s="14">
        <f>IFERROR((E39-E295)/E295,"-")</f>
        <v/>
      </c>
      <c r="F547" s="14">
        <f>IFERROR((F39-F295)/F295,"-")</f>
        <v/>
      </c>
      <c r="G547" s="14">
        <f>IFERROR((G39-G295)/G295,"-")</f>
        <v/>
      </c>
      <c r="H547" s="23">
        <f>IFERROR((H39-H295)/H295,"-")</f>
        <v/>
      </c>
      <c r="I547" s="22">
        <f>IFERROR((I39-I295)/I295,"-")</f>
        <v/>
      </c>
      <c r="J547" s="14">
        <f>IFERROR((J39-J295)/J295,"-")</f>
        <v/>
      </c>
      <c r="K547" s="14">
        <f>IFERROR((K39-K295)/K295,"-")</f>
        <v/>
      </c>
      <c r="L547" s="14">
        <f>IFERROR((L39-L295)/L295,"-")</f>
        <v/>
      </c>
      <c r="M547" s="23">
        <f>IFERROR((M39-M295)/M295,"-")</f>
        <v/>
      </c>
      <c r="N547" s="22">
        <f>IFERROR((N39-N295)/N295,"-")</f>
        <v/>
      </c>
      <c r="O547" s="14">
        <f>IFERROR((O39-O295)/O295,"-")</f>
        <v/>
      </c>
      <c r="P547" s="14">
        <f>IFERROR((P39-P295)/P295,"-")</f>
        <v/>
      </c>
      <c r="Q547" s="14">
        <f>IFERROR((Q39-Q295)/Q295,"-")</f>
        <v/>
      </c>
      <c r="R547" s="23">
        <f>IFERROR((R39-R295)/R295,"-")</f>
        <v/>
      </c>
      <c r="S547" s="22">
        <f>IFERROR((S39-S295)/S295,"-")</f>
        <v/>
      </c>
      <c r="T547" s="14">
        <f>IFERROR((T39-T295)/T295,"-")</f>
        <v/>
      </c>
      <c r="U547" s="14">
        <f>IFERROR((U39-U295)/U295,"-")</f>
        <v/>
      </c>
      <c r="V547" s="14">
        <f>IFERROR((V39-V295)/V295,"-")</f>
        <v/>
      </c>
      <c r="W547" s="23">
        <f>IFERROR((W39-W295)/W295,"-")</f>
        <v/>
      </c>
      <c r="X547" s="22">
        <f>IFERROR((X39-X295)/X295,"-")</f>
        <v/>
      </c>
    </row>
    <row r="548">
      <c r="A548" s="9" t="inlineStr">
        <is>
          <t>MANH</t>
        </is>
      </c>
      <c r="D548" s="22">
        <f>IFERROR((D40-D296)/D296,"-")</f>
        <v/>
      </c>
      <c r="E548" s="14">
        <f>IFERROR((E40-E296)/E296,"-")</f>
        <v/>
      </c>
      <c r="F548" s="14">
        <f>IFERROR((F40-F296)/F296,"-")</f>
        <v/>
      </c>
      <c r="G548" s="14">
        <f>IFERROR((G40-G296)/G296,"-")</f>
        <v/>
      </c>
      <c r="H548" s="23">
        <f>IFERROR((H40-H296)/H296,"-")</f>
        <v/>
      </c>
      <c r="I548" s="22">
        <f>IFERROR((I40-I296)/I296,"-")</f>
        <v/>
      </c>
      <c r="J548" s="14">
        <f>IFERROR((J40-J296)/J296,"-")</f>
        <v/>
      </c>
      <c r="K548" s="14">
        <f>IFERROR((K40-K296)/K296,"-")</f>
        <v/>
      </c>
      <c r="L548" s="14">
        <f>IFERROR((L40-L296)/L296,"-")</f>
        <v/>
      </c>
      <c r="M548" s="23">
        <f>IFERROR((M40-M296)/M296,"-")</f>
        <v/>
      </c>
      <c r="N548" s="22">
        <f>IFERROR((N40-N296)/N296,"-")</f>
        <v/>
      </c>
      <c r="O548" s="14">
        <f>IFERROR((O40-O296)/O296,"-")</f>
        <v/>
      </c>
      <c r="P548" s="14">
        <f>IFERROR((P40-P296)/P296,"-")</f>
        <v/>
      </c>
      <c r="Q548" s="14">
        <f>IFERROR((Q40-Q296)/Q296,"-")</f>
        <v/>
      </c>
      <c r="R548" s="23">
        <f>IFERROR((R40-R296)/R296,"-")</f>
        <v/>
      </c>
      <c r="S548" s="22">
        <f>IFERROR((S40-S296)/S296,"-")</f>
        <v/>
      </c>
      <c r="T548" s="14">
        <f>IFERROR((T40-T296)/T296,"-")</f>
        <v/>
      </c>
      <c r="U548" s="14">
        <f>IFERROR((U40-U296)/U296,"-")</f>
        <v/>
      </c>
      <c r="V548" s="14">
        <f>IFERROR((V40-V296)/V296,"-")</f>
        <v/>
      </c>
      <c r="W548" s="23">
        <f>IFERROR((W40-W296)/W296,"-")</f>
        <v/>
      </c>
      <c r="X548" s="22">
        <f>IFERROR((X40-X296)/X296,"-")</f>
        <v/>
      </c>
    </row>
    <row r="549">
      <c r="A549" s="9" t="inlineStr">
        <is>
          <t>S</t>
        </is>
      </c>
      <c r="D549" s="22">
        <f>IFERROR((D41-D297)/D297,"-")</f>
        <v/>
      </c>
      <c r="E549" s="14">
        <f>IFERROR((E41-E297)/E297,"-")</f>
        <v/>
      </c>
      <c r="F549" s="14">
        <f>IFERROR((F41-F297)/F297,"-")</f>
        <v/>
      </c>
      <c r="G549" s="14">
        <f>IFERROR((G41-G297)/G297,"-")</f>
        <v/>
      </c>
      <c r="H549" s="23">
        <f>IFERROR((H41-H297)/H297,"-")</f>
        <v/>
      </c>
      <c r="I549" s="22">
        <f>IFERROR((I41-I297)/I297,"-")</f>
        <v/>
      </c>
      <c r="J549" s="14">
        <f>IFERROR((J41-J297)/J297,"-")</f>
        <v/>
      </c>
      <c r="K549" s="14">
        <f>IFERROR((K41-K297)/K297,"-")</f>
        <v/>
      </c>
      <c r="L549" s="14">
        <f>IFERROR((L41-L297)/L297,"-")</f>
        <v/>
      </c>
      <c r="M549" s="23">
        <f>IFERROR((M41-M297)/M297,"-")</f>
        <v/>
      </c>
      <c r="N549" s="22">
        <f>IFERROR((N41-N297)/N297,"-")</f>
        <v/>
      </c>
      <c r="O549" s="14">
        <f>IFERROR((O41-O297)/O297,"-")</f>
        <v/>
      </c>
      <c r="P549" s="14">
        <f>IFERROR((P41-P297)/P297,"-")</f>
        <v/>
      </c>
      <c r="Q549" s="14">
        <f>IFERROR((Q41-Q297)/Q297,"-")</f>
        <v/>
      </c>
      <c r="R549" s="23">
        <f>IFERROR((R41-R297)/R297,"-")</f>
        <v/>
      </c>
      <c r="S549" s="22">
        <f>IFERROR((S41-S297)/S297,"-")</f>
        <v/>
      </c>
      <c r="T549" s="14">
        <f>IFERROR((T41-T297)/T297,"-")</f>
        <v/>
      </c>
      <c r="U549" s="14">
        <f>IFERROR((U41-U297)/U297,"-")</f>
        <v/>
      </c>
      <c r="V549" s="14">
        <f>IFERROR((V41-V297)/V297,"-")</f>
        <v/>
      </c>
      <c r="W549" s="23">
        <f>IFERROR((W41-W297)/W297,"-")</f>
        <v/>
      </c>
      <c r="X549" s="22">
        <f>IFERROR((X41-X297)/X297,"-")</f>
        <v/>
      </c>
    </row>
    <row r="550">
      <c r="A550" s="9" t="inlineStr">
        <is>
          <t>TENB</t>
        </is>
      </c>
      <c r="D550" s="22">
        <f>IFERROR((D42-D298)/D298,"-")</f>
        <v/>
      </c>
      <c r="E550" s="14">
        <f>IFERROR((E42-E298)/E298,"-")</f>
        <v/>
      </c>
      <c r="F550" s="14">
        <f>IFERROR((F42-F298)/F298,"-")</f>
        <v/>
      </c>
      <c r="G550" s="14">
        <f>IFERROR((G42-G298)/G298,"-")</f>
        <v/>
      </c>
      <c r="H550" s="23">
        <f>IFERROR((H42-H298)/H298,"-")</f>
        <v/>
      </c>
      <c r="I550" s="22">
        <f>IFERROR((I42-I298)/I298,"-")</f>
        <v/>
      </c>
      <c r="J550" s="14">
        <f>IFERROR((J42-J298)/J298,"-")</f>
        <v/>
      </c>
      <c r="K550" s="14">
        <f>IFERROR((K42-K298)/K298,"-")</f>
        <v/>
      </c>
      <c r="L550" s="14">
        <f>IFERROR((L42-L298)/L298,"-")</f>
        <v/>
      </c>
      <c r="M550" s="23">
        <f>IFERROR((M42-M298)/M298,"-")</f>
        <v/>
      </c>
      <c r="N550" s="22">
        <f>IFERROR((N42-N298)/N298,"-")</f>
        <v/>
      </c>
      <c r="O550" s="14">
        <f>IFERROR((O42-O298)/O298,"-")</f>
        <v/>
      </c>
      <c r="P550" s="14">
        <f>IFERROR((P42-P298)/P298,"-")</f>
        <v/>
      </c>
      <c r="Q550" s="14">
        <f>IFERROR((Q42-Q298)/Q298,"-")</f>
        <v/>
      </c>
      <c r="R550" s="23">
        <f>IFERROR((R42-R298)/R298,"-")</f>
        <v/>
      </c>
      <c r="S550" s="22">
        <f>IFERROR((S42-S298)/S298,"-")</f>
        <v/>
      </c>
      <c r="T550" s="14">
        <f>IFERROR((T42-T298)/T298,"-")</f>
        <v/>
      </c>
      <c r="U550" s="14">
        <f>IFERROR((U42-U298)/U298,"-")</f>
        <v/>
      </c>
      <c r="V550" s="14">
        <f>IFERROR((V42-V298)/V298,"-")</f>
        <v/>
      </c>
      <c r="W550" s="23">
        <f>IFERROR((W42-W298)/W298,"-")</f>
        <v/>
      </c>
      <c r="X550" s="22">
        <f>IFERROR((X42-X298)/X298,"-")</f>
        <v/>
      </c>
    </row>
    <row r="551">
      <c r="A551" s="9" t="inlineStr">
        <is>
          <t>GTLB</t>
        </is>
      </c>
      <c r="D551" s="22">
        <f>IFERROR((D43-D299)/D299,"-")</f>
        <v/>
      </c>
      <c r="E551" s="14">
        <f>IFERROR((E43-E299)/E299,"-")</f>
        <v/>
      </c>
      <c r="F551" s="14">
        <f>IFERROR((F43-F299)/F299,"-")</f>
        <v/>
      </c>
      <c r="G551" s="14">
        <f>IFERROR((G43-G299)/G299,"-")</f>
        <v/>
      </c>
      <c r="H551" s="23">
        <f>IFERROR((H43-H299)/H299,"-")</f>
        <v/>
      </c>
      <c r="I551" s="22">
        <f>IFERROR((I43-I299)/I299,"-")</f>
        <v/>
      </c>
      <c r="J551" s="14">
        <f>IFERROR((J43-J299)/J299,"-")</f>
        <v/>
      </c>
      <c r="K551" s="14">
        <f>IFERROR((K43-K299)/K299,"-")</f>
        <v/>
      </c>
      <c r="L551" s="14">
        <f>IFERROR((L43-L299)/L299,"-")</f>
        <v/>
      </c>
      <c r="M551" s="23">
        <f>IFERROR((M43-M299)/M299,"-")</f>
        <v/>
      </c>
      <c r="N551" s="22">
        <f>IFERROR((N43-N299)/N299,"-")</f>
        <v/>
      </c>
      <c r="O551" s="14">
        <f>IFERROR((O43-O299)/O299,"-")</f>
        <v/>
      </c>
      <c r="P551" s="14">
        <f>IFERROR((P43-P299)/P299,"-")</f>
        <v/>
      </c>
      <c r="Q551" s="14">
        <f>IFERROR((Q43-Q299)/Q299,"-")</f>
        <v/>
      </c>
      <c r="R551" s="23">
        <f>IFERROR((R43-R299)/R299,"-")</f>
        <v/>
      </c>
      <c r="S551" s="22">
        <f>IFERROR((S43-S299)/S299,"-")</f>
        <v/>
      </c>
      <c r="T551" s="14">
        <f>IFERROR((T43-T299)/T299,"-")</f>
        <v/>
      </c>
      <c r="U551" s="14">
        <f>IFERROR((U43-U299)/U299,"-")</f>
        <v/>
      </c>
      <c r="V551" s="14">
        <f>IFERROR((V43-V299)/V299,"-")</f>
        <v/>
      </c>
      <c r="W551" s="23">
        <f>IFERROR((W43-W299)/W299,"-")</f>
        <v/>
      </c>
      <c r="X551" s="22">
        <f>IFERROR((X43-X299)/X299,"-")</f>
        <v/>
      </c>
    </row>
    <row r="552">
      <c r="A552" s="9" t="inlineStr">
        <is>
          <t>DOCN</t>
        </is>
      </c>
      <c r="D552" s="22">
        <f>IFERROR((D44-D300)/D300,"-")</f>
        <v/>
      </c>
      <c r="E552" s="14">
        <f>IFERROR((E44-E300)/E300,"-")</f>
        <v/>
      </c>
      <c r="F552" s="14">
        <f>IFERROR((F44-F300)/F300,"-")</f>
        <v/>
      </c>
      <c r="G552" s="14">
        <f>IFERROR((G44-G300)/G300,"-")</f>
        <v/>
      </c>
      <c r="H552" s="23">
        <f>IFERROR((H44-H300)/H300,"-")</f>
        <v/>
      </c>
      <c r="I552" s="22">
        <f>IFERROR((I44-I300)/I300,"-")</f>
        <v/>
      </c>
      <c r="J552" s="14">
        <f>IFERROR((J44-J300)/J300,"-")</f>
        <v/>
      </c>
      <c r="K552" s="14">
        <f>IFERROR((K44-K300)/K300,"-")</f>
        <v/>
      </c>
      <c r="L552" s="14">
        <f>IFERROR((L44-L300)/L300,"-")</f>
        <v/>
      </c>
      <c r="M552" s="23">
        <f>IFERROR((M44-M300)/M300,"-")</f>
        <v/>
      </c>
      <c r="N552" s="22">
        <f>IFERROR((N44-N300)/N300,"-")</f>
        <v/>
      </c>
      <c r="O552" s="14">
        <f>IFERROR((O44-O300)/O300,"-")</f>
        <v/>
      </c>
      <c r="P552" s="14">
        <f>IFERROR((P44-P300)/P300,"-")</f>
        <v/>
      </c>
      <c r="Q552" s="14">
        <f>IFERROR((Q44-Q300)/Q300,"-")</f>
        <v/>
      </c>
      <c r="R552" s="23">
        <f>IFERROR((R44-R300)/R300,"-")</f>
        <v/>
      </c>
      <c r="S552" s="22">
        <f>IFERROR((S44-S300)/S300,"-")</f>
        <v/>
      </c>
      <c r="T552" s="14">
        <f>IFERROR((T44-T300)/T300,"-")</f>
        <v/>
      </c>
      <c r="U552" s="14">
        <f>IFERROR((U44-U300)/U300,"-")</f>
        <v/>
      </c>
      <c r="V552" s="14">
        <f>IFERROR((V44-V300)/V300,"-")</f>
        <v/>
      </c>
      <c r="W552" s="23">
        <f>IFERROR((W44-W300)/W300,"-")</f>
        <v/>
      </c>
      <c r="X552" s="22">
        <f>IFERROR((X44-X300)/X300,"-")</f>
        <v/>
      </c>
    </row>
    <row r="553">
      <c r="A553" s="9" t="inlineStr">
        <is>
          <t>SPSC</t>
        </is>
      </c>
      <c r="D553" s="22">
        <f>IFERROR((D45-D301)/D301,"-")</f>
        <v/>
      </c>
      <c r="E553" s="14">
        <f>IFERROR((E45-E301)/E301,"-")</f>
        <v/>
      </c>
      <c r="F553" s="14">
        <f>IFERROR((F45-F301)/F301,"-")</f>
        <v/>
      </c>
      <c r="G553" s="14">
        <f>IFERROR((G45-G301)/G301,"-")</f>
        <v/>
      </c>
      <c r="H553" s="23">
        <f>IFERROR((H45-H301)/H301,"-")</f>
        <v/>
      </c>
      <c r="I553" s="22">
        <f>IFERROR((I45-I301)/I301,"-")</f>
        <v/>
      </c>
      <c r="J553" s="14">
        <f>IFERROR((J45-J301)/J301,"-")</f>
        <v/>
      </c>
      <c r="K553" s="14">
        <f>IFERROR((K45-K301)/K301,"-")</f>
        <v/>
      </c>
      <c r="L553" s="14">
        <f>IFERROR((L45-L301)/L301,"-")</f>
        <v/>
      </c>
      <c r="M553" s="23">
        <f>IFERROR((M45-M301)/M301,"-")</f>
        <v/>
      </c>
      <c r="N553" s="22">
        <f>IFERROR((N45-N301)/N301,"-")</f>
        <v/>
      </c>
      <c r="O553" s="14">
        <f>IFERROR((O45-O301)/O301,"-")</f>
        <v/>
      </c>
      <c r="P553" s="14">
        <f>IFERROR((P45-P301)/P301,"-")</f>
        <v/>
      </c>
      <c r="Q553" s="14">
        <f>IFERROR((Q45-Q301)/Q301,"-")</f>
        <v/>
      </c>
      <c r="R553" s="23">
        <f>IFERROR((R45-R301)/R301,"-")</f>
        <v/>
      </c>
      <c r="S553" s="22">
        <f>IFERROR((S45-S301)/S301,"-")</f>
        <v/>
      </c>
      <c r="T553" s="14">
        <f>IFERROR((T45-T301)/T301,"-")</f>
        <v/>
      </c>
      <c r="U553" s="14">
        <f>IFERROR((U45-U301)/U301,"-")</f>
        <v/>
      </c>
      <c r="V553" s="14">
        <f>IFERROR((V45-V301)/V301,"-")</f>
        <v/>
      </c>
      <c r="W553" s="23">
        <f>IFERROR((W45-W301)/W301,"-")</f>
        <v/>
      </c>
      <c r="X553" s="22">
        <f>IFERROR((X45-X301)/X301,"-")</f>
        <v/>
      </c>
    </row>
    <row r="554">
      <c r="A554" s="9" t="inlineStr">
        <is>
          <t>BRZE</t>
        </is>
      </c>
      <c r="D554" s="22">
        <f>IFERROR((D46-D302)/D302,"-")</f>
        <v/>
      </c>
      <c r="E554" s="14">
        <f>IFERROR((E46-E302)/E302,"-")</f>
        <v/>
      </c>
      <c r="F554" s="14">
        <f>IFERROR((F46-F302)/F302,"-")</f>
        <v/>
      </c>
      <c r="G554" s="14">
        <f>IFERROR((G46-G302)/G302,"-")</f>
        <v/>
      </c>
      <c r="H554" s="23">
        <f>IFERROR((H46-H302)/H302,"-")</f>
        <v/>
      </c>
      <c r="I554" s="22">
        <f>IFERROR((I46-I302)/I302,"-")</f>
        <v/>
      </c>
      <c r="J554" s="14">
        <f>IFERROR((J46-J302)/J302,"-")</f>
        <v/>
      </c>
      <c r="K554" s="14">
        <f>IFERROR((K46-K302)/K302,"-")</f>
        <v/>
      </c>
      <c r="L554" s="14">
        <f>IFERROR((L46-L302)/L302,"-")</f>
        <v/>
      </c>
      <c r="M554" s="23">
        <f>IFERROR((M46-M302)/M302,"-")</f>
        <v/>
      </c>
      <c r="N554" s="22">
        <f>IFERROR((N46-N302)/N302,"-")</f>
        <v/>
      </c>
      <c r="O554" s="14">
        <f>IFERROR((O46-O302)/O302,"-")</f>
        <v/>
      </c>
      <c r="P554" s="14">
        <f>IFERROR((P46-P302)/P302,"-")</f>
        <v/>
      </c>
      <c r="Q554" s="14">
        <f>IFERROR((Q46-Q302)/Q302,"-")</f>
        <v/>
      </c>
      <c r="R554" s="23">
        <f>IFERROR((R46-R302)/R302,"-")</f>
        <v/>
      </c>
      <c r="S554" s="22">
        <f>IFERROR((S46-S302)/S302,"-")</f>
        <v/>
      </c>
      <c r="T554" s="14">
        <f>IFERROR((T46-T302)/T302,"-")</f>
        <v/>
      </c>
      <c r="U554" s="14">
        <f>IFERROR((U46-U302)/U302,"-")</f>
        <v/>
      </c>
      <c r="V554" s="14">
        <f>IFERROR((V46-V302)/V302,"-")</f>
        <v/>
      </c>
      <c r="W554" s="23">
        <f>IFERROR((W46-W302)/W302,"-")</f>
        <v/>
      </c>
      <c r="X554" s="22">
        <f>IFERROR((X46-X302)/X302,"-")</f>
        <v/>
      </c>
    </row>
    <row r="555">
      <c r="A555" s="9" t="inlineStr">
        <is>
          <t>CWAN</t>
        </is>
      </c>
      <c r="D555" s="22">
        <f>IFERROR((D47-D303)/D303,"-")</f>
        <v/>
      </c>
      <c r="E555" s="14">
        <f>IFERROR((E47-E303)/E303,"-")</f>
        <v/>
      </c>
      <c r="F555" s="14">
        <f>IFERROR((F47-F303)/F303,"-")</f>
        <v/>
      </c>
      <c r="G555" s="14">
        <f>IFERROR((G47-G303)/G303,"-")</f>
        <v/>
      </c>
      <c r="H555" s="23">
        <f>IFERROR((H47-H303)/H303,"-")</f>
        <v/>
      </c>
      <c r="I555" s="22">
        <f>IFERROR((I47-I303)/I303,"-")</f>
        <v/>
      </c>
      <c r="J555" s="14">
        <f>IFERROR((J47-J303)/J303,"-")</f>
        <v/>
      </c>
      <c r="K555" s="14">
        <f>IFERROR((K47-K303)/K303,"-")</f>
        <v/>
      </c>
      <c r="L555" s="14">
        <f>IFERROR((L47-L303)/L303,"-")</f>
        <v/>
      </c>
      <c r="M555" s="23">
        <f>IFERROR((M47-M303)/M303,"-")</f>
        <v/>
      </c>
      <c r="N555" s="22">
        <f>IFERROR((N47-N303)/N303,"-")</f>
        <v/>
      </c>
      <c r="O555" s="14">
        <f>IFERROR((O47-O303)/O303,"-")</f>
        <v/>
      </c>
      <c r="P555" s="14">
        <f>IFERROR((P47-P303)/P303,"-")</f>
        <v/>
      </c>
      <c r="Q555" s="14">
        <f>IFERROR((Q47-Q303)/Q303,"-")</f>
        <v/>
      </c>
      <c r="R555" s="23">
        <f>IFERROR((R47-R303)/R303,"-")</f>
        <v/>
      </c>
      <c r="S555" s="22">
        <f>IFERROR((S47-S303)/S303,"-")</f>
        <v/>
      </c>
      <c r="T555" s="14">
        <f>IFERROR((T47-T303)/T303,"-")</f>
        <v/>
      </c>
      <c r="U555" s="14">
        <f>IFERROR((U47-U303)/U303,"-")</f>
        <v/>
      </c>
      <c r="V555" s="14">
        <f>IFERROR((V47-V303)/V303,"-")</f>
        <v/>
      </c>
      <c r="W555" s="23">
        <f>IFERROR((W47-W303)/W303,"-")</f>
        <v/>
      </c>
      <c r="X555" s="22">
        <f>IFERROR((X47-X303)/X303,"-")</f>
        <v/>
      </c>
    </row>
    <row r="556">
      <c r="A556" s="9" t="inlineStr">
        <is>
          <t>APPN</t>
        </is>
      </c>
      <c r="D556" s="22">
        <f>IFERROR((D48-D304)/D304,"-")</f>
        <v/>
      </c>
      <c r="E556" s="14">
        <f>IFERROR((E48-E304)/E304,"-")</f>
        <v/>
      </c>
      <c r="F556" s="14">
        <f>IFERROR((F48-F304)/F304,"-")</f>
        <v/>
      </c>
      <c r="G556" s="14">
        <f>IFERROR((G48-G304)/G304,"-")</f>
        <v/>
      </c>
      <c r="H556" s="23">
        <f>IFERROR((H48-H304)/H304,"-")</f>
        <v/>
      </c>
      <c r="I556" s="22">
        <f>IFERROR((I48-I304)/I304,"-")</f>
        <v/>
      </c>
      <c r="J556" s="14">
        <f>IFERROR((J48-J304)/J304,"-")</f>
        <v/>
      </c>
      <c r="K556" s="14">
        <f>IFERROR((K48-K304)/K304,"-")</f>
        <v/>
      </c>
      <c r="L556" s="14">
        <f>IFERROR((L48-L304)/L304,"-")</f>
        <v/>
      </c>
      <c r="M556" s="23">
        <f>IFERROR((M48-M304)/M304,"-")</f>
        <v/>
      </c>
      <c r="N556" s="22">
        <f>IFERROR((N48-N304)/N304,"-")</f>
        <v/>
      </c>
      <c r="O556" s="14">
        <f>IFERROR((O48-O304)/O304,"-")</f>
        <v/>
      </c>
      <c r="P556" s="14">
        <f>IFERROR((P48-P304)/P304,"-")</f>
        <v/>
      </c>
      <c r="Q556" s="14">
        <f>IFERROR((Q48-Q304)/Q304,"-")</f>
        <v/>
      </c>
      <c r="R556" s="23">
        <f>IFERROR((R48-R304)/R304,"-")</f>
        <v/>
      </c>
      <c r="S556" s="22">
        <f>IFERROR((S48-S304)/S304,"-")</f>
        <v/>
      </c>
      <c r="T556" s="14">
        <f>IFERROR((T48-T304)/T304,"-")</f>
        <v/>
      </c>
      <c r="U556" s="14">
        <f>IFERROR((U48-U304)/U304,"-")</f>
        <v/>
      </c>
      <c r="V556" s="14">
        <f>IFERROR((V48-V304)/V304,"-")</f>
        <v/>
      </c>
      <c r="W556" s="23">
        <f>IFERROR((W48-W304)/W304,"-")</f>
        <v/>
      </c>
      <c r="X556" s="22">
        <f>IFERROR((X48-X304)/X304,"-")</f>
        <v/>
      </c>
    </row>
    <row r="557">
      <c r="A557" s="9" t="inlineStr">
        <is>
          <t>QLYS</t>
        </is>
      </c>
      <c r="D557" s="22">
        <f>IFERROR((D49-D305)/D305,"-")</f>
        <v/>
      </c>
      <c r="E557" s="14">
        <f>IFERROR((E49-E305)/E305,"-")</f>
        <v/>
      </c>
      <c r="F557" s="14">
        <f>IFERROR((F49-F305)/F305,"-")</f>
        <v/>
      </c>
      <c r="G557" s="14">
        <f>IFERROR((G49-G305)/G305,"-")</f>
        <v/>
      </c>
      <c r="H557" s="23">
        <f>IFERROR((H49-H305)/H305,"-")</f>
        <v/>
      </c>
      <c r="I557" s="22">
        <f>IFERROR((I49-I305)/I305,"-")</f>
        <v/>
      </c>
      <c r="J557" s="14">
        <f>IFERROR((J49-J305)/J305,"-")</f>
        <v/>
      </c>
      <c r="K557" s="14">
        <f>IFERROR((K49-K305)/K305,"-")</f>
        <v/>
      </c>
      <c r="L557" s="14">
        <f>IFERROR((L49-L305)/L305,"-")</f>
        <v/>
      </c>
      <c r="M557" s="23">
        <f>IFERROR((M49-M305)/M305,"-")</f>
        <v/>
      </c>
      <c r="N557" s="22">
        <f>IFERROR((N49-N305)/N305,"-")</f>
        <v/>
      </c>
      <c r="O557" s="14">
        <f>IFERROR((O49-O305)/O305,"-")</f>
        <v/>
      </c>
      <c r="P557" s="14">
        <f>IFERROR((P49-P305)/P305,"-")</f>
        <v/>
      </c>
      <c r="Q557" s="14">
        <f>IFERROR((Q49-Q305)/Q305,"-")</f>
        <v/>
      </c>
      <c r="R557" s="23">
        <f>IFERROR((R49-R305)/R305,"-")</f>
        <v/>
      </c>
      <c r="S557" s="22">
        <f>IFERROR((S49-S305)/S305,"-")</f>
        <v/>
      </c>
      <c r="T557" s="14">
        <f>IFERROR((T49-T305)/T305,"-")</f>
        <v/>
      </c>
      <c r="U557" s="14">
        <f>IFERROR((U49-U305)/U305,"-")</f>
        <v/>
      </c>
      <c r="V557" s="14">
        <f>IFERROR((V49-V305)/V305,"-")</f>
        <v/>
      </c>
      <c r="W557" s="23">
        <f>IFERROR((W49-W305)/W305,"-")</f>
        <v/>
      </c>
      <c r="X557" s="22">
        <f>IFERROR((X49-X305)/X305,"-")</f>
        <v/>
      </c>
    </row>
    <row r="558">
      <c r="A558" s="9" t="inlineStr">
        <is>
          <t>NCNO</t>
        </is>
      </c>
      <c r="D558" s="22">
        <f>IFERROR((D50-D306)/D306,"-")</f>
        <v/>
      </c>
      <c r="E558" s="14">
        <f>IFERROR((E50-E306)/E306,"-")</f>
        <v/>
      </c>
      <c r="F558" s="14">
        <f>IFERROR((F50-F306)/F306,"-")</f>
        <v/>
      </c>
      <c r="G558" s="14">
        <f>IFERROR((G50-G306)/G306,"-")</f>
        <v/>
      </c>
      <c r="H558" s="23">
        <f>IFERROR((H50-H306)/H306,"-")</f>
        <v/>
      </c>
      <c r="I558" s="22">
        <f>IFERROR((I50-I306)/I306,"-")</f>
        <v/>
      </c>
      <c r="J558" s="14">
        <f>IFERROR((J50-J306)/J306,"-")</f>
        <v/>
      </c>
      <c r="K558" s="14">
        <f>IFERROR((K50-K306)/K306,"-")</f>
        <v/>
      </c>
      <c r="L558" s="14">
        <f>IFERROR((L50-L306)/L306,"-")</f>
        <v/>
      </c>
      <c r="M558" s="23">
        <f>IFERROR((M50-M306)/M306,"-")</f>
        <v/>
      </c>
      <c r="N558" s="22">
        <f>IFERROR((N50-N306)/N306,"-")</f>
        <v/>
      </c>
      <c r="O558" s="14">
        <f>IFERROR((O50-O306)/O306,"-")</f>
        <v/>
      </c>
      <c r="P558" s="14">
        <f>IFERROR((P50-P306)/P306,"-")</f>
        <v/>
      </c>
      <c r="Q558" s="14">
        <f>IFERROR((Q50-Q306)/Q306,"-")</f>
        <v/>
      </c>
      <c r="R558" s="23">
        <f>IFERROR((R50-R306)/R306,"-")</f>
        <v/>
      </c>
      <c r="S558" s="22">
        <f>IFERROR((S50-S306)/S306,"-")</f>
        <v/>
      </c>
      <c r="T558" s="14">
        <f>IFERROR((T50-T306)/T306,"-")</f>
        <v/>
      </c>
      <c r="U558" s="14">
        <f>IFERROR((U50-U306)/U306,"-")</f>
        <v/>
      </c>
      <c r="V558" s="14">
        <f>IFERROR((V50-V306)/V306,"-")</f>
        <v/>
      </c>
      <c r="W558" s="23">
        <f>IFERROR((W50-W306)/W306,"-")</f>
        <v/>
      </c>
      <c r="X558" s="22">
        <f>IFERROR((X50-X306)/X306,"-")</f>
        <v/>
      </c>
    </row>
    <row r="559">
      <c r="A559" s="9" t="inlineStr">
        <is>
          <t>FROG</t>
        </is>
      </c>
      <c r="D559" s="22">
        <f>IFERROR((D51-D307)/D307,"-")</f>
        <v/>
      </c>
      <c r="E559" s="14">
        <f>IFERROR((E51-E307)/E307,"-")</f>
        <v/>
      </c>
      <c r="F559" s="14">
        <f>IFERROR((F51-F307)/F307,"-")</f>
        <v/>
      </c>
      <c r="G559" s="14">
        <f>IFERROR((G51-G307)/G307,"-")</f>
        <v/>
      </c>
      <c r="H559" s="23">
        <f>IFERROR((H51-H307)/H307,"-")</f>
        <v/>
      </c>
      <c r="I559" s="22">
        <f>IFERROR((I51-I307)/I307,"-")</f>
        <v/>
      </c>
      <c r="J559" s="14">
        <f>IFERROR((J51-J307)/J307,"-")</f>
        <v/>
      </c>
      <c r="K559" s="14">
        <f>IFERROR((K51-K307)/K307,"-")</f>
        <v/>
      </c>
      <c r="L559" s="14">
        <f>IFERROR((L51-L307)/L307,"-")</f>
        <v/>
      </c>
      <c r="M559" s="23">
        <f>IFERROR((M51-M307)/M307,"-")</f>
        <v/>
      </c>
      <c r="N559" s="22">
        <f>IFERROR((N51-N307)/N307,"-")</f>
        <v/>
      </c>
      <c r="O559" s="14">
        <f>IFERROR((O51-O307)/O307,"-")</f>
        <v/>
      </c>
      <c r="P559" s="14">
        <f>IFERROR((P51-P307)/P307,"-")</f>
        <v/>
      </c>
      <c r="Q559" s="14">
        <f>IFERROR((Q51-Q307)/Q307,"-")</f>
        <v/>
      </c>
      <c r="R559" s="23">
        <f>IFERROR((R51-R307)/R307,"-")</f>
        <v/>
      </c>
      <c r="S559" s="22">
        <f>IFERROR((S51-S307)/S307,"-")</f>
        <v/>
      </c>
      <c r="T559" s="14">
        <f>IFERROR((T51-T307)/T307,"-")</f>
        <v/>
      </c>
      <c r="U559" s="14">
        <f>IFERROR((U51-U307)/U307,"-")</f>
        <v/>
      </c>
      <c r="V559" s="14">
        <f>IFERROR((V51-V307)/V307,"-")</f>
        <v/>
      </c>
      <c r="W559" s="23">
        <f>IFERROR((W51-W307)/W307,"-")</f>
        <v/>
      </c>
      <c r="X559" s="22">
        <f>IFERROR((X51-X307)/X307,"-")</f>
        <v/>
      </c>
    </row>
    <row r="560">
      <c r="A560" s="17" t="inlineStr">
        <is>
          <t>Total Revenue</t>
        </is>
      </c>
      <c r="B560" s="18" t="n"/>
      <c r="C560" s="18" t="n"/>
      <c r="D560" s="26">
        <f>IFERROR((D52-D308)/D308,"-")</f>
        <v/>
      </c>
      <c r="E560" s="27">
        <f>IFERROR((E52-E308)/E308,"-")</f>
        <v/>
      </c>
      <c r="F560" s="27">
        <f>IFERROR((F52-F308)/F308,"-")</f>
        <v/>
      </c>
      <c r="G560" s="27">
        <f>IFERROR((G52-G308)/G308,"-")</f>
        <v/>
      </c>
      <c r="H560" s="28">
        <f>IFERROR((H52-H308)/H308,"-")</f>
        <v/>
      </c>
      <c r="I560" s="26">
        <f>IFERROR((I52-I308)/I308,"-")</f>
        <v/>
      </c>
      <c r="J560" s="27">
        <f>IFERROR((J52-J308)/J308,"-")</f>
        <v/>
      </c>
      <c r="K560" s="27">
        <f>IFERROR((K52-K308)/K308,"-")</f>
        <v/>
      </c>
      <c r="L560" s="27">
        <f>IFERROR((L52-L308)/L308,"-")</f>
        <v/>
      </c>
      <c r="M560" s="28">
        <f>IFERROR((M52-M308)/M308,"-")</f>
        <v/>
      </c>
      <c r="N560" s="26">
        <f>IFERROR((N52-N308)/N308,"-")</f>
        <v/>
      </c>
      <c r="O560" s="27">
        <f>IFERROR((O52-O308)/O308,"-")</f>
        <v/>
      </c>
      <c r="P560" s="27">
        <f>IFERROR((P52-P308)/P308,"-")</f>
        <v/>
      </c>
      <c r="Q560" s="27">
        <f>IFERROR((Q52-Q308)/Q308,"-")</f>
        <v/>
      </c>
      <c r="R560" s="28">
        <f>IFERROR((R52-R308)/R308,"-")</f>
        <v/>
      </c>
      <c r="S560" s="26">
        <f>IFERROR((S52-S308)/S308,"-")</f>
        <v/>
      </c>
      <c r="T560" s="27">
        <f>IFERROR((T52-T308)/T308,"-")</f>
        <v/>
      </c>
      <c r="U560" s="27">
        <f>IFERROR((U52-U308)/U308,"-")</f>
        <v/>
      </c>
      <c r="V560" s="27">
        <f>IFERROR((V52-V308)/V308,"-")</f>
        <v/>
      </c>
      <c r="W560" s="28">
        <f>IFERROR((W52-W308)/W308,"-")</f>
        <v/>
      </c>
      <c r="X560" s="26">
        <f>IFERROR((X52-X308)/X308,"-")</f>
        <v/>
      </c>
    </row>
    <row r="561">
      <c r="D561" s="7" t="n"/>
      <c r="H561" s="8" t="n"/>
      <c r="I561" s="7" t="n"/>
      <c r="M561" s="8" t="n"/>
      <c r="N561" s="7" t="n"/>
      <c r="R561" s="8" t="n"/>
      <c r="S561" s="7" t="n"/>
      <c r="W561" s="8" t="n"/>
      <c r="X561" s="7" t="n"/>
    </row>
    <row r="562">
      <c r="D562" s="7" t="n"/>
      <c r="H562" s="8" t="n"/>
      <c r="I562" s="7" t="n"/>
      <c r="M562" s="8" t="n"/>
      <c r="N562" s="7" t="n"/>
      <c r="R562" s="8" t="n"/>
      <c r="S562" s="7" t="n"/>
      <c r="W562" s="8" t="n"/>
      <c r="X562" s="7" t="n"/>
    </row>
  </sheetData>
  <conditionalFormatting sqref="AB4:AB51">
    <cfRule type="expression" priority="1" dxfId="0">
      <formula>AB4&gt;0</formula>
    </cfRule>
    <cfRule type="expression" priority="2" dxfId="1">
      <formula>AB4&lt;0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X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  <col width="10.5" customWidth="1" min="24" max="24"/>
  </cols>
  <sheetData>
    <row r="1">
      <c r="B1" s="1" t="inlineStr">
        <is>
          <t>SNOW: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0.0352</v>
      </c>
    </row>
    <row r="4">
      <c r="B4" s="9" t="inlineStr">
        <is>
          <t>Beat Window</t>
        </is>
      </c>
      <c r="C4" s="33" t="inlineStr">
        <is>
          <t>8Q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  <c r="X7" s="4" t="inlineStr">
        <is>
          <t>Q1-28E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  <c r="X8" s="7" t="n"/>
    </row>
    <row r="9">
      <c r="B9" s="3" t="inlineStr">
        <is>
          <t>Total Revenue</t>
        </is>
      </c>
      <c r="D9" s="34" t="n">
        <v>774.699</v>
      </c>
      <c r="E9" s="35" t="n">
        <v>828.7089999999999</v>
      </c>
      <c r="F9" s="35" t="n">
        <v>868.823</v>
      </c>
      <c r="G9" s="35" t="n">
        <v>942.0940000000001</v>
      </c>
      <c r="H9" s="36">
        <f>SUM(D9:G9)</f>
        <v/>
      </c>
      <c r="I9" s="34" t="n">
        <v>986.77</v>
      </c>
      <c r="J9" s="35" t="n">
        <v>1042.074</v>
      </c>
      <c r="K9" s="35" t="n">
        <v>1144.969</v>
      </c>
      <c r="L9" s="35" t="n">
        <v>1212.909</v>
      </c>
      <c r="M9" s="36">
        <f>SUM(I9:L9)</f>
        <v/>
      </c>
      <c r="N9" s="34" t="n">
        <v>1283.994</v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  <c r="X9" s="34">
        <f>V9+X13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  <c r="X10" s="22">
        <f>IFERROR((X9-S9)/S9,"-")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  <c r="X11" s="22">
        <f>IFERROR((X9-V9)/V9,"-")</f>
        <v/>
      </c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  <c r="X12" s="29">
        <f>X9-S9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29">
        <f>N9-L9</f>
        <v/>
      </c>
      <c r="O13" s="37" t="n">
        <v>78.56922299999999</v>
      </c>
      <c r="P13" s="37" t="n">
        <v>57.632653</v>
      </c>
      <c r="Q13" s="37" t="n">
        <v>73.878316</v>
      </c>
      <c r="R13" s="8" t="n"/>
      <c r="S13" s="38" t="n">
        <v>75.776472</v>
      </c>
      <c r="T13" s="37" t="n">
        <v>80.056524</v>
      </c>
      <c r="U13" s="37" t="n">
        <v>76.922439</v>
      </c>
      <c r="V13" s="37" t="n">
        <v>82.482094</v>
      </c>
      <c r="W13" s="8" t="n"/>
      <c r="X13" s="38" t="n">
        <v>86.47258600000001</v>
      </c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  <c r="X14" s="7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7" t="n"/>
      <c r="O15" s="35" t="n">
        <v>1316.231861</v>
      </c>
      <c r="P15" s="35" t="n">
        <v>1446.197369</v>
      </c>
      <c r="Q15" s="35" t="n">
        <v>1531.387993</v>
      </c>
      <c r="R15" s="8" t="n"/>
      <c r="S15" s="34" t="n">
        <v>1620.305067</v>
      </c>
      <c r="T15" s="35" t="n">
        <v>1654.796208</v>
      </c>
      <c r="U15" s="35" t="n">
        <v>1777.673986</v>
      </c>
      <c r="V15" s="35" t="n">
        <v>1886.297441</v>
      </c>
      <c r="W15" s="36">
        <f>SUM(S15:V15)</f>
        <v/>
      </c>
      <c r="X15" s="34" t="n">
        <v>1982.060516</v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7" t="n"/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8" t="n"/>
      <c r="X16" s="22">
        <f>IFERROR((X15-S15)/S15,"-")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  <c r="X17" s="22">
        <f>IFERROR((X15-V15)/V15,"-")</f>
        <v/>
      </c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7" t="n"/>
      <c r="T18" s="30">
        <f>T15-O15</f>
        <v/>
      </c>
      <c r="U18" s="30">
        <f>U15-P15</f>
        <v/>
      </c>
      <c r="V18" s="30">
        <f>V15-Q15</f>
        <v/>
      </c>
      <c r="W18" s="8" t="n"/>
      <c r="X18" s="29">
        <f>X15-S15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  <c r="X19" s="29">
        <f>X15-V15</f>
        <v/>
      </c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  <c r="X20" s="7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7" t="n"/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  <c r="X21" s="22">
        <f>IFERROR((X9-X15)/X15,"-")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  <c r="X22" s="7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P23" s="35">
        <f>P9/(1+$C$3)</f>
        <v/>
      </c>
      <c r="R23" s="8" t="n"/>
      <c r="S23" s="7" t="n"/>
      <c r="W23" s="8" t="n"/>
      <c r="X23" s="7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P24" s="14">
        <f>IFERROR((P23-K9)/K9,"-")</f>
        <v/>
      </c>
      <c r="R24" s="8" t="n"/>
      <c r="S24" s="7" t="n"/>
      <c r="W24" s="8" t="n"/>
      <c r="X24" s="7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P25" s="14">
        <f>IFERROR((P23-O9)/O9,"-")</f>
        <v/>
      </c>
      <c r="R25" s="8" t="n"/>
      <c r="S25" s="7" t="n"/>
      <c r="W25" s="8" t="n"/>
      <c r="X25" s="7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P26" s="30">
        <f>P23-K9</f>
        <v/>
      </c>
      <c r="R26" s="8" t="n"/>
      <c r="S26" s="7" t="n"/>
      <c r="W26" s="8" t="n"/>
      <c r="X26" s="7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P27" s="30">
        <f>P23-O9</f>
        <v/>
      </c>
      <c r="R27" s="8" t="n"/>
      <c r="S27" s="7" t="n"/>
      <c r="W27" s="8" t="n"/>
      <c r="X27" s="7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  <c r="X28" s="7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P29" s="14">
        <f>IFERROR((P23-P15)/P15,"-")</f>
        <v/>
      </c>
      <c r="R29" s="8" t="n"/>
      <c r="S29" s="7" t="n"/>
      <c r="W29" s="8" t="n"/>
      <c r="X29" s="7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  <c r="X30" s="7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  <c r="X31" s="7" t="n"/>
    </row>
    <row r="32">
      <c r="B32" s="3" t="inlineStr">
        <is>
          <t>Actual Revenue</t>
        </is>
      </c>
      <c r="D32" s="34" t="n">
        <v>774.699</v>
      </c>
      <c r="E32" s="35" t="n">
        <v>828.7089999999999</v>
      </c>
      <c r="F32" s="35" t="n">
        <v>868.823</v>
      </c>
      <c r="G32" s="35" t="n">
        <v>942.0940000000001</v>
      </c>
      <c r="H32" s="36">
        <f>SUM(D32:G32)</f>
        <v/>
      </c>
      <c r="I32" s="34" t="n">
        <v>986.77</v>
      </c>
      <c r="J32" s="35" t="n">
        <v>1042.074</v>
      </c>
      <c r="K32" s="35" t="n">
        <v>1144.969</v>
      </c>
      <c r="L32" s="35" t="n">
        <v>1212.909</v>
      </c>
      <c r="M32" s="36">
        <f>SUM(I32:L32)</f>
        <v/>
      </c>
      <c r="N32" s="34" t="n">
        <v>1283.994</v>
      </c>
      <c r="R32" s="8" t="n"/>
      <c r="S32" s="7" t="n"/>
      <c r="W32" s="8" t="n"/>
      <c r="X32" s="7" t="n"/>
    </row>
    <row r="33">
      <c r="B33" s="3" t="inlineStr">
        <is>
          <t>Consensus Revenue</t>
        </is>
      </c>
      <c r="D33" s="34" t="n">
        <v>760.4318050000001</v>
      </c>
      <c r="E33" s="35" t="n">
        <v>788.1030019999999</v>
      </c>
      <c r="F33" s="35" t="n">
        <v>853.111781</v>
      </c>
      <c r="G33" s="35" t="n">
        <v>899.3069850000001</v>
      </c>
      <c r="H33" s="36">
        <f>SUM(D33:G33)</f>
        <v/>
      </c>
      <c r="I33" s="34" t="n">
        <v>957.789207</v>
      </c>
      <c r="J33" s="35" t="n">
        <v>1006.299443</v>
      </c>
      <c r="K33" s="35" t="n">
        <v>1088.074125</v>
      </c>
      <c r="L33" s="35" t="n">
        <v>1184.340631</v>
      </c>
      <c r="M33" s="36">
        <f>SUM(I33:L33)</f>
        <v/>
      </c>
      <c r="N33" s="34" t="n">
        <v>1256.722</v>
      </c>
      <c r="R33" s="8" t="n"/>
      <c r="S33" s="7" t="n"/>
      <c r="W33" s="8" t="n"/>
      <c r="X33" s="7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29">
        <f>N32-N33</f>
        <v/>
      </c>
      <c r="R34" s="8" t="n"/>
      <c r="S34" s="7" t="n"/>
      <c r="W34" s="8" t="n"/>
      <c r="X34" s="7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39">
        <f>IFERROR((N32-N33)/N33,"-")</f>
        <v/>
      </c>
      <c r="R35" s="8" t="n"/>
      <c r="S35" s="7" t="n"/>
      <c r="W35" s="8" t="n"/>
      <c r="X35" s="7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  <c r="X36" s="7" t="n"/>
    </row>
    <row r="37">
      <c r="B37" s="2" t="inlineStr">
        <is>
          <t xml:space="preserve">   Trailing 4Q Avg Beat</t>
        </is>
      </c>
      <c r="C37" s="41">
        <f>AVERAGE(J35,K35,L35,N35)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  <c r="X37" s="7" t="n"/>
    </row>
    <row r="38">
      <c r="B38" s="2" t="inlineStr">
        <is>
          <t xml:space="preserve">   Trailing 8Q Avg Beat</t>
        </is>
      </c>
      <c r="C38" s="41">
        <f>AVERAGE(E35,F35,G35,I35,J35,K35,L35,N35)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  <c r="X38" s="7" t="n"/>
    </row>
    <row r="39">
      <c r="B39" s="2" t="inlineStr">
        <is>
          <t xml:space="preserve">   Selected Beat Cadence</t>
        </is>
      </c>
      <c r="C39" s="42" t="n">
        <v>0.0352</v>
      </c>
      <c r="D39" s="7" t="n"/>
      <c r="H39" s="8" t="n"/>
      <c r="I39" s="7" t="n"/>
      <c r="M39" s="8" t="n"/>
      <c r="N39" s="7" t="n"/>
      <c r="R39" s="8" t="n"/>
      <c r="S39" s="7" t="n"/>
      <c r="W39" s="8" t="n"/>
      <c r="X39" s="7" t="n"/>
    </row>
  </sheetData>
  <conditionalFormatting sqref="D21:X21">
    <cfRule type="expression" priority="1" dxfId="0">
      <formula>D21&gt;0</formula>
    </cfRule>
    <cfRule type="expression" priority="2" dxfId="1">
      <formula>D21&lt;0</formula>
    </cfRule>
  </conditionalFormatting>
  <conditionalFormatting sqref="D29:X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DDOG: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0.0349</v>
      </c>
    </row>
    <row r="4">
      <c r="B4" s="9" t="inlineStr">
        <is>
          <t>Beat Window</t>
        </is>
      </c>
      <c r="C4" s="33" t="inlineStr">
        <is>
          <t>8Q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611.253</v>
      </c>
      <c r="E9" s="35" t="n">
        <v>645.279</v>
      </c>
      <c r="F9" s="35" t="n">
        <v>690.016</v>
      </c>
      <c r="G9" s="35" t="n">
        <v>737.727</v>
      </c>
      <c r="H9" s="36">
        <f>SUM(D9:G9)</f>
        <v/>
      </c>
      <c r="I9" s="34" t="n">
        <v>761.553</v>
      </c>
      <c r="J9" s="35" t="n">
        <v>826.76</v>
      </c>
      <c r="K9" s="35" t="n">
        <v>885.651</v>
      </c>
      <c r="L9" s="35" t="n">
        <v>953.194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36.1704</v>
      </c>
      <c r="O13" s="37" t="n">
        <v>32.854789</v>
      </c>
      <c r="P13" s="37" t="n">
        <v>59.307231</v>
      </c>
      <c r="Q13" s="37" t="n">
        <v>64.292587</v>
      </c>
      <c r="R13" s="8" t="n"/>
      <c r="S13" s="38" t="n">
        <v>40.352753</v>
      </c>
      <c r="T13" s="37" t="n">
        <v>54.271897</v>
      </c>
      <c r="U13" s="37" t="n">
        <v>60.658508</v>
      </c>
      <c r="V13" s="37" t="n">
        <v>66.764154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956</v>
      </c>
      <c r="O15" s="35" t="n">
        <v>992.567221</v>
      </c>
      <c r="P15" s="35" t="n">
        <v>1047.131542</v>
      </c>
      <c r="Q15" s="35" t="n">
        <v>1112.342692</v>
      </c>
      <c r="R15" s="36">
        <f>SUM(N15:Q15)</f>
        <v/>
      </c>
      <c r="S15" s="34" t="n">
        <v>1141.098607</v>
      </c>
      <c r="T15" s="35" t="n">
        <v>1182.08157</v>
      </c>
      <c r="U15" s="35" t="n">
        <v>1246.386815</v>
      </c>
      <c r="V15" s="35" t="n">
        <v>1326.5623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611.253</v>
      </c>
      <c r="E32" s="35" t="n">
        <v>645.279</v>
      </c>
      <c r="F32" s="35" t="n">
        <v>690.016</v>
      </c>
      <c r="G32" s="35" t="n">
        <v>737.727</v>
      </c>
      <c r="H32" s="36">
        <f>SUM(D32:G32)</f>
        <v/>
      </c>
      <c r="I32" s="34" t="n">
        <v>761.553</v>
      </c>
      <c r="J32" s="35" t="n">
        <v>826.76</v>
      </c>
      <c r="K32" s="35" t="n">
        <v>885.651</v>
      </c>
      <c r="L32" s="35" t="n">
        <v>953.194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592.031855</v>
      </c>
      <c r="E33" s="35" t="n">
        <v>626.8917290000001</v>
      </c>
      <c r="F33" s="35" t="n">
        <v>665.041144</v>
      </c>
      <c r="G33" s="35" t="n">
        <v>715.178777</v>
      </c>
      <c r="H33" s="36">
        <f>SUM(D33:G33)</f>
        <v/>
      </c>
      <c r="I33" s="34" t="n">
        <v>741.413084</v>
      </c>
      <c r="J33" s="35" t="n">
        <v>791.123833</v>
      </c>
      <c r="K33" s="35" t="n">
        <v>852.761661</v>
      </c>
      <c r="L33" s="35" t="n">
        <v>918.7008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>
        <f>AVERAGE(I35,J35,K35,L35)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>
        <f>AVERAGE(D35,E35,F35,G35,I35,J35,K35,L35)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0.0349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X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  <col width="10.5" customWidth="1" min="24" max="24"/>
  </cols>
  <sheetData>
    <row r="1">
      <c r="B1" s="1" t="inlineStr">
        <is>
          <t>MDB: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0.0505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  <c r="X7" s="4" t="inlineStr">
        <is>
          <t>Q1-28E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  <c r="X8" s="7" t="n"/>
    </row>
    <row r="9">
      <c r="B9" s="3" t="inlineStr">
        <is>
          <t>Total Revenue</t>
        </is>
      </c>
      <c r="D9" s="34" t="n">
        <v>458.002</v>
      </c>
      <c r="E9" s="35" t="n">
        <v>450.561</v>
      </c>
      <c r="F9" s="35" t="n">
        <v>478.109</v>
      </c>
      <c r="G9" s="35" t="n">
        <v>529.375</v>
      </c>
      <c r="H9" s="36">
        <f>SUM(D9:G9)</f>
        <v/>
      </c>
      <c r="I9" s="34" t="n">
        <v>548.398</v>
      </c>
      <c r="J9" s="35" t="n">
        <v>549.014</v>
      </c>
      <c r="K9" s="35" t="n">
        <v>591.402</v>
      </c>
      <c r="L9" s="35" t="n">
        <v>628.309</v>
      </c>
      <c r="M9" s="36">
        <f>SUM(I9:L9)</f>
        <v/>
      </c>
      <c r="N9" s="34" t="n">
        <v>695.072</v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  <c r="X9" s="34">
        <f>V9+X13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  <c r="X10" s="22">
        <f>IFERROR((X9-S9)/S9,"-")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  <c r="X11" s="22">
        <f>IFERROR((X9-V9)/V9,"-")</f>
        <v/>
      </c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  <c r="X12" s="29">
        <f>X9-S9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29">
        <f>N9-L9</f>
        <v/>
      </c>
      <c r="O13" s="37" t="n">
        <v>-16.574448</v>
      </c>
      <c r="P13" s="37" t="n">
        <v>32.030919</v>
      </c>
      <c r="Q13" s="37" t="n">
        <v>55.52654</v>
      </c>
      <c r="R13" s="8" t="n"/>
      <c r="S13" s="38" t="n">
        <v>45.064476</v>
      </c>
      <c r="T13" s="37" t="n">
        <v>10.768684</v>
      </c>
      <c r="U13" s="37" t="n">
        <v>28.598296</v>
      </c>
      <c r="V13" s="37" t="n">
        <v>44.447627</v>
      </c>
      <c r="W13" s="8" t="n"/>
      <c r="X13" s="38" t="n">
        <v>45.164744</v>
      </c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  <c r="X14" s="7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7" t="n"/>
      <c r="O15" s="35" t="n">
        <v>645.880583</v>
      </c>
      <c r="P15" s="35" t="n">
        <v>695.7474099999999</v>
      </c>
      <c r="Q15" s="35" t="n">
        <v>738.557712</v>
      </c>
      <c r="R15" s="8" t="n"/>
      <c r="S15" s="34" t="n">
        <v>796.660813</v>
      </c>
      <c r="T15" s="35" t="n">
        <v>777.207293</v>
      </c>
      <c r="U15" s="35" t="n">
        <v>821.786545</v>
      </c>
      <c r="V15" s="35" t="n">
        <v>867.668451</v>
      </c>
      <c r="W15" s="36">
        <f>SUM(S15:V15)</f>
        <v/>
      </c>
      <c r="X15" s="34" t="n">
        <v>931.852077</v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7" t="n"/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8" t="n"/>
      <c r="X16" s="22">
        <f>IFERROR((X15-S15)/S15,"-")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  <c r="X17" s="22">
        <f>IFERROR((X15-V15)/V15,"-")</f>
        <v/>
      </c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7" t="n"/>
      <c r="T18" s="30">
        <f>T15-O15</f>
        <v/>
      </c>
      <c r="U18" s="30">
        <f>U15-P15</f>
        <v/>
      </c>
      <c r="V18" s="30">
        <f>V15-Q15</f>
        <v/>
      </c>
      <c r="W18" s="8" t="n"/>
      <c r="X18" s="29">
        <f>X15-S15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  <c r="X19" s="29">
        <f>X15-V15</f>
        <v/>
      </c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  <c r="X20" s="7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7" t="n"/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  <c r="X21" s="22">
        <f>IFERROR((X9-X15)/X15,"-")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  <c r="X22" s="7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P23" s="35">
        <f>P9/(1+$C$3)</f>
        <v/>
      </c>
      <c r="R23" s="8" t="n"/>
      <c r="S23" s="7" t="n"/>
      <c r="W23" s="8" t="n"/>
      <c r="X23" s="7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P24" s="14">
        <f>IFERROR((P23-K9)/K9,"-")</f>
        <v/>
      </c>
      <c r="R24" s="8" t="n"/>
      <c r="S24" s="7" t="n"/>
      <c r="W24" s="8" t="n"/>
      <c r="X24" s="7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P25" s="14">
        <f>IFERROR((P23-O9)/O9,"-")</f>
        <v/>
      </c>
      <c r="R25" s="8" t="n"/>
      <c r="S25" s="7" t="n"/>
      <c r="W25" s="8" t="n"/>
      <c r="X25" s="7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P26" s="30">
        <f>P23-K9</f>
        <v/>
      </c>
      <c r="R26" s="8" t="n"/>
      <c r="S26" s="7" t="n"/>
      <c r="W26" s="8" t="n"/>
      <c r="X26" s="7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P27" s="30">
        <f>P23-O9</f>
        <v/>
      </c>
      <c r="R27" s="8" t="n"/>
      <c r="S27" s="7" t="n"/>
      <c r="W27" s="8" t="n"/>
      <c r="X27" s="7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  <c r="X28" s="7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P29" s="14">
        <f>IFERROR((P23-P15)/P15,"-")</f>
        <v/>
      </c>
      <c r="R29" s="8" t="n"/>
      <c r="S29" s="7" t="n"/>
      <c r="W29" s="8" t="n"/>
      <c r="X29" s="7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  <c r="X30" s="7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  <c r="X31" s="7" t="n"/>
    </row>
    <row r="32">
      <c r="B32" s="3" t="inlineStr">
        <is>
          <t>Actual Revenue</t>
        </is>
      </c>
      <c r="D32" s="34" t="n">
        <v>458.002</v>
      </c>
      <c r="E32" s="35" t="n">
        <v>450.561</v>
      </c>
      <c r="F32" s="35" t="n">
        <v>478.109</v>
      </c>
      <c r="G32" s="35" t="n">
        <v>529.375</v>
      </c>
      <c r="H32" s="36">
        <f>SUM(D32:G32)</f>
        <v/>
      </c>
      <c r="I32" s="34" t="n">
        <v>548.398</v>
      </c>
      <c r="J32" s="35" t="n">
        <v>549.014</v>
      </c>
      <c r="K32" s="35" t="n">
        <v>591.402</v>
      </c>
      <c r="L32" s="35" t="n">
        <v>628.309</v>
      </c>
      <c r="M32" s="36">
        <f>SUM(I32:L32)</f>
        <v/>
      </c>
      <c r="N32" s="34" t="n">
        <v>695.072</v>
      </c>
      <c r="R32" s="8" t="n"/>
      <c r="S32" s="7" t="n"/>
      <c r="W32" s="8" t="n"/>
      <c r="X32" s="7" t="n"/>
    </row>
    <row r="33">
      <c r="B33" s="3" t="inlineStr">
        <is>
          <t>Consensus Revenue</t>
        </is>
      </c>
      <c r="D33" s="34" t="n">
        <v>437.188122</v>
      </c>
      <c r="E33" s="35" t="n">
        <v>441.441095</v>
      </c>
      <c r="F33" s="35" t="n">
        <v>465.028269</v>
      </c>
      <c r="G33" s="35" t="n">
        <v>497.241186</v>
      </c>
      <c r="H33" s="36">
        <f>SUM(D33:G33)</f>
        <v/>
      </c>
      <c r="I33" s="34" t="n">
        <v>520.645893</v>
      </c>
      <c r="J33" s="35" t="n">
        <v>528.120261</v>
      </c>
      <c r="K33" s="35" t="n">
        <v>554.058888</v>
      </c>
      <c r="L33" s="35" t="n">
        <v>593.933257</v>
      </c>
      <c r="M33" s="36">
        <f>SUM(I33:L33)</f>
        <v/>
      </c>
      <c r="N33" s="34" t="n">
        <v>670.0789</v>
      </c>
      <c r="R33" s="8" t="n"/>
      <c r="S33" s="7" t="n"/>
      <c r="W33" s="8" t="n"/>
      <c r="X33" s="7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29">
        <f>N32-N33</f>
        <v/>
      </c>
      <c r="R34" s="8" t="n"/>
      <c r="S34" s="7" t="n"/>
      <c r="W34" s="8" t="n"/>
      <c r="X34" s="7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39">
        <f>IFERROR((N32-N33)/N33,"-")</f>
        <v/>
      </c>
      <c r="R35" s="8" t="n"/>
      <c r="S35" s="7" t="n"/>
      <c r="W35" s="8" t="n"/>
      <c r="X35" s="7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  <c r="X36" s="7" t="n"/>
    </row>
    <row r="37">
      <c r="B37" s="2" t="inlineStr">
        <is>
          <t xml:space="preserve">   Trailing 4Q Avg Beat</t>
        </is>
      </c>
      <c r="C37" s="41">
        <f>AVERAGE(J35,K35,L35,N35)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  <c r="X37" s="7" t="n"/>
    </row>
    <row r="38">
      <c r="B38" s="2" t="inlineStr">
        <is>
          <t xml:space="preserve">   Trailing 8Q Avg Beat</t>
        </is>
      </c>
      <c r="C38" s="41">
        <f>AVERAGE(E35,F35,G35,I35,J35,K35,L35,N35)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  <c r="X38" s="7" t="n"/>
    </row>
    <row r="39">
      <c r="B39" s="2" t="inlineStr">
        <is>
          <t xml:space="preserve">   Selected Beat Cadence</t>
        </is>
      </c>
      <c r="C39" s="42" t="n">
        <v>0.0505</v>
      </c>
      <c r="D39" s="7" t="n"/>
      <c r="H39" s="8" t="n"/>
      <c r="I39" s="7" t="n"/>
      <c r="M39" s="8" t="n"/>
      <c r="N39" s="7" t="n"/>
      <c r="R39" s="8" t="n"/>
      <c r="S39" s="7" t="n"/>
      <c r="W39" s="8" t="n"/>
      <c r="X39" s="7" t="n"/>
    </row>
  </sheetData>
  <conditionalFormatting sqref="D21:X21">
    <cfRule type="expression" priority="1" dxfId="0">
      <formula>D21&gt;0</formula>
    </cfRule>
    <cfRule type="expression" priority="2" dxfId="1">
      <formula>D21&lt;0</formula>
    </cfRule>
  </conditionalFormatting>
  <conditionalFormatting sqref="D29:X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TENB: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0.0171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215.961</v>
      </c>
      <c r="E9" s="35" t="n">
        <v>221.241</v>
      </c>
      <c r="F9" s="35" t="n">
        <v>227.088</v>
      </c>
      <c r="G9" s="35" t="n">
        <v>235.731</v>
      </c>
      <c r="H9" s="36">
        <f>SUM(D9:G9)</f>
        <v/>
      </c>
      <c r="I9" s="34" t="n">
        <v>239.137</v>
      </c>
      <c r="J9" s="35" t="n">
        <v>247.295</v>
      </c>
      <c r="K9" s="35" t="n">
        <v>252.44</v>
      </c>
      <c r="L9" s="35" t="n">
        <v>260.533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0.077831</v>
      </c>
      <c r="O13" s="37" t="n">
        <v>11.476605</v>
      </c>
      <c r="P13" s="37" t="n">
        <v>5.937786</v>
      </c>
      <c r="Q13" s="37" t="n">
        <v>7.525493</v>
      </c>
      <c r="R13" s="8" t="n"/>
      <c r="S13" s="38" t="n">
        <v>5.499063</v>
      </c>
      <c r="T13" s="37" t="n">
        <v>6.956187</v>
      </c>
      <c r="U13" s="37" t="n">
        <v>6.531518</v>
      </c>
      <c r="V13" s="37" t="n">
        <v>7.330487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256.22931</v>
      </c>
      <c r="O15" s="35" t="n">
        <v>264.970403</v>
      </c>
      <c r="P15" s="35" t="n">
        <v>269.71966</v>
      </c>
      <c r="Q15" s="35" t="n">
        <v>277.697987</v>
      </c>
      <c r="R15" s="36">
        <f>SUM(N15:Q15)</f>
        <v/>
      </c>
      <c r="S15" s="34" t="n">
        <v>278.284263</v>
      </c>
      <c r="T15" s="35" t="n">
        <v>284.189349</v>
      </c>
      <c r="U15" s="35" t="n">
        <v>289.311363</v>
      </c>
      <c r="V15" s="35" t="n">
        <v>297.746955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215.961</v>
      </c>
      <c r="E32" s="35" t="n">
        <v>221.241</v>
      </c>
      <c r="F32" s="35" t="n">
        <v>227.088</v>
      </c>
      <c r="G32" s="35" t="n">
        <v>235.731</v>
      </c>
      <c r="H32" s="36">
        <f>SUM(D32:G32)</f>
        <v/>
      </c>
      <c r="I32" s="34" t="n">
        <v>239.137</v>
      </c>
      <c r="J32" s="35" t="n">
        <v>247.295</v>
      </c>
      <c r="K32" s="35" t="n">
        <v>252.44</v>
      </c>
      <c r="L32" s="35" t="n">
        <v>260.533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213.554545</v>
      </c>
      <c r="E33" s="35" t="n">
        <v>218.44</v>
      </c>
      <c r="F33" s="35" t="n">
        <v>231.47</v>
      </c>
      <c r="G33" s="35" t="n">
        <v>232.02464</v>
      </c>
      <c r="H33" s="36">
        <f>SUM(D33:G33)</f>
        <v/>
      </c>
      <c r="I33" s="34" t="n">
        <v>234.02901</v>
      </c>
      <c r="J33" s="35" t="n">
        <v>245.12115</v>
      </c>
      <c r="K33" s="35" t="n">
        <v>251.79071</v>
      </c>
      <c r="L33" s="35" t="n">
        <v>251.7559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3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>
        <f>AVERAGE(I35,J35,K35,L35)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>
        <f>AVERAGE(D35,E35,F35,G35,I35,J35,K35,L35)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0.0171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QLYS: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0.0067</v>
      </c>
    </row>
    <row r="4">
      <c r="B4" s="9" t="inlineStr">
        <is>
          <t>Beat Window</t>
        </is>
      </c>
      <c r="C4" s="33" t="inlineStr">
        <is>
          <t>8Q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145.805</v>
      </c>
      <c r="E9" s="35" t="n">
        <v>148.708</v>
      </c>
      <c r="F9" s="35" t="n">
        <v>153.867</v>
      </c>
      <c r="G9" s="35" t="n">
        <v>159.191</v>
      </c>
      <c r="H9" s="36">
        <f>SUM(D9:G9)</f>
        <v/>
      </c>
      <c r="I9" s="34" t="n">
        <v>159.899</v>
      </c>
      <c r="J9" s="35" t="n">
        <v>164.062</v>
      </c>
      <c r="K9" s="35" t="n">
        <v>169.882</v>
      </c>
      <c r="L9" s="35" t="n">
        <v>175.282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-1.776115</v>
      </c>
      <c r="O13" s="37" t="n">
        <v>5.679536</v>
      </c>
      <c r="P13" s="37" t="n">
        <v>5.66231</v>
      </c>
      <c r="Q13" s="37" t="n">
        <v>5.161078</v>
      </c>
      <c r="R13" s="8" t="n"/>
      <c r="S13" s="38" t="n">
        <v>2.506203</v>
      </c>
      <c r="T13" s="37" t="n">
        <v>3.432442</v>
      </c>
      <c r="U13" s="37" t="n">
        <v>4.730111</v>
      </c>
      <c r="V13" s="37" t="n">
        <v>4.927198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172.351132</v>
      </c>
      <c r="O15" s="35" t="n">
        <v>176.838325</v>
      </c>
      <c r="P15" s="35" t="n">
        <v>182.728971</v>
      </c>
      <c r="Q15" s="35" t="n">
        <v>187.88311</v>
      </c>
      <c r="R15" s="36">
        <f>SUM(N15:Q15)</f>
        <v/>
      </c>
      <c r="S15" s="34" t="n">
        <v>187.257828</v>
      </c>
      <c r="T15" s="35" t="n">
        <v>189.999422</v>
      </c>
      <c r="U15" s="35" t="n">
        <v>195.083087</v>
      </c>
      <c r="V15" s="35" t="n">
        <v>199.770082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145.805</v>
      </c>
      <c r="E32" s="35" t="n">
        <v>148.708</v>
      </c>
      <c r="F32" s="35" t="n">
        <v>153.867</v>
      </c>
      <c r="G32" s="35" t="n">
        <v>159.191</v>
      </c>
      <c r="H32" s="36">
        <f>SUM(D32:G32)</f>
        <v/>
      </c>
      <c r="I32" s="34" t="n">
        <v>159.899</v>
      </c>
      <c r="J32" s="35" t="n">
        <v>164.062</v>
      </c>
      <c r="K32" s="35" t="n">
        <v>169.882</v>
      </c>
      <c r="L32" s="35" t="n">
        <v>175.282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145.7</v>
      </c>
      <c r="E33" s="35" t="n">
        <v>148.7</v>
      </c>
      <c r="F33" s="35" t="n">
        <v>150.7</v>
      </c>
      <c r="G33" s="35" t="n">
        <v>156.27221</v>
      </c>
      <c r="H33" s="36">
        <f>SUM(D33:G33)</f>
        <v/>
      </c>
      <c r="I33" s="34" t="n">
        <v>159.91182</v>
      </c>
      <c r="J33" s="35" t="n">
        <v>161.26166</v>
      </c>
      <c r="K33" s="35" t="n">
        <v>173.1789</v>
      </c>
      <c r="L33" s="35" t="n">
        <v>173.1643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44">
        <f>IFERROR((I32-I33)/I33,"-")</f>
        <v/>
      </c>
      <c r="J35" s="40">
        <f>IFERROR((J32-J33)/J33,"-")</f>
        <v/>
      </c>
      <c r="K35" s="43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>
        <f>AVERAGE(I35,J35,K35,L35)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>
        <f>AVERAGE(D35,E35,F35,G35,I35,J35,K35,L35)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0.0067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NOW: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0.0111</v>
      </c>
    </row>
    <row r="4">
      <c r="B4" s="9" t="inlineStr">
        <is>
          <t>Beat Window</t>
        </is>
      </c>
      <c r="C4" s="33" t="inlineStr">
        <is>
          <t>8Q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2603</v>
      </c>
      <c r="E9" s="35" t="n">
        <v>2627</v>
      </c>
      <c r="F9" s="35" t="n">
        <v>2797</v>
      </c>
      <c r="G9" s="35" t="n">
        <v>2957</v>
      </c>
      <c r="H9" s="36">
        <f>SUM(D9:G9)</f>
        <v/>
      </c>
      <c r="I9" s="34" t="n">
        <v>3088</v>
      </c>
      <c r="J9" s="35" t="n">
        <v>3215</v>
      </c>
      <c r="K9" s="35" t="n">
        <v>3407</v>
      </c>
      <c r="L9" s="35" t="n">
        <v>3568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190.188231</v>
      </c>
      <c r="O13" s="37" t="n">
        <v>65.303325</v>
      </c>
      <c r="P13" s="37" t="n">
        <v>183.898012</v>
      </c>
      <c r="Q13" s="37" t="n">
        <v>176.594336</v>
      </c>
      <c r="R13" s="8" t="n"/>
      <c r="S13" s="38" t="n">
        <v>157.418987</v>
      </c>
      <c r="T13" s="37" t="n">
        <v>151.356843</v>
      </c>
      <c r="U13" s="37" t="n">
        <v>180.503838</v>
      </c>
      <c r="V13" s="37" t="n">
        <v>187.629716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3716.930305</v>
      </c>
      <c r="O15" s="35" t="n">
        <v>3869.796286</v>
      </c>
      <c r="P15" s="35" t="n">
        <v>4087.417842</v>
      </c>
      <c r="Q15" s="35" t="n">
        <v>4284.621409</v>
      </c>
      <c r="R15" s="36">
        <f>SUM(N15:Q15)</f>
        <v/>
      </c>
      <c r="S15" s="34" t="n">
        <v>4435.482712</v>
      </c>
      <c r="T15" s="35" t="n">
        <v>4569.48501</v>
      </c>
      <c r="U15" s="35" t="n">
        <v>4817.029799</v>
      </c>
      <c r="V15" s="35" t="n">
        <v>5029.441076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2603</v>
      </c>
      <c r="E32" s="35" t="n">
        <v>2627</v>
      </c>
      <c r="F32" s="35" t="n">
        <v>2797</v>
      </c>
      <c r="G32" s="35" t="n">
        <v>2957</v>
      </c>
      <c r="H32" s="36">
        <f>SUM(D32:G32)</f>
        <v/>
      </c>
      <c r="I32" s="34" t="n">
        <v>3088</v>
      </c>
      <c r="J32" s="35" t="n">
        <v>3215</v>
      </c>
      <c r="K32" s="35" t="n">
        <v>3407</v>
      </c>
      <c r="L32" s="35" t="n">
        <v>3568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2588.08553</v>
      </c>
      <c r="E33" s="35" t="n">
        <v>2606.801917</v>
      </c>
      <c r="F33" s="35" t="n">
        <v>2745.530127</v>
      </c>
      <c r="G33" s="35" t="n">
        <v>2963.305321</v>
      </c>
      <c r="H33" s="36">
        <f>SUM(D33:G33)</f>
        <v/>
      </c>
      <c r="I33" s="34" t="n">
        <v>3083.239432</v>
      </c>
      <c r="J33" s="35" t="n">
        <v>3120.45085</v>
      </c>
      <c r="K33" s="35" t="n">
        <v>3355.346413</v>
      </c>
      <c r="L33" s="35" t="n">
        <v>3528.315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3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>
        <f>AVERAGE(I35,J35,K35,L35)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>
        <f>AVERAGE(D35,E35,F35,G35,I35,J35,K35,L35)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0.0111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ADBE: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0.0144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5182</v>
      </c>
      <c r="E9" s="35" t="n">
        <v>5309</v>
      </c>
      <c r="F9" s="35" t="n">
        <v>5408</v>
      </c>
      <c r="G9" s="35" t="n">
        <v>5606</v>
      </c>
      <c r="H9" s="36">
        <f>SUM(D9:G9)</f>
        <v/>
      </c>
      <c r="I9" s="34" t="n">
        <v>5714</v>
      </c>
      <c r="J9" s="35" t="n">
        <v>5873</v>
      </c>
      <c r="K9" s="35" t="n">
        <v>5988</v>
      </c>
      <c r="L9" s="35" t="n">
        <v>6194</v>
      </c>
      <c r="M9" s="36">
        <f>SUM(I9:L9)</f>
        <v/>
      </c>
      <c r="N9" s="34" t="n">
        <v>6398</v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29">
        <f>N9-L9</f>
        <v/>
      </c>
      <c r="O13" s="37" t="n">
        <v>75.018145</v>
      </c>
      <c r="P13" s="37" t="n">
        <v>118.372643</v>
      </c>
      <c r="Q13" s="37" t="n">
        <v>189.567949</v>
      </c>
      <c r="R13" s="8" t="n"/>
      <c r="S13" s="38" t="n">
        <v>198.520238</v>
      </c>
      <c r="T13" s="37" t="n">
        <v>133.780745</v>
      </c>
      <c r="U13" s="37" t="n">
        <v>133.292797</v>
      </c>
      <c r="V13" s="37" t="n">
        <v>170.738773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7" t="n"/>
      <c r="O15" s="35" t="n">
        <v>6381.129875</v>
      </c>
      <c r="P15" s="35" t="n">
        <v>6600.654383</v>
      </c>
      <c r="Q15" s="35" t="n">
        <v>6818.047585</v>
      </c>
      <c r="R15" s="8" t="n"/>
      <c r="S15" s="34" t="n">
        <v>6811.840026</v>
      </c>
      <c r="T15" s="35" t="n">
        <v>6945.223578</v>
      </c>
      <c r="U15" s="35" t="n">
        <v>7184.154116</v>
      </c>
      <c r="V15" s="35" t="n">
        <v>7420.764939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7" t="n"/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8" t="n"/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7" t="n"/>
      <c r="T18" s="30">
        <f>T15-O15</f>
        <v/>
      </c>
      <c r="U18" s="30">
        <f>U15-P15</f>
        <v/>
      </c>
      <c r="V18" s="30">
        <f>V15-Q15</f>
        <v/>
      </c>
      <c r="W18" s="8" t="n"/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7" t="n"/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P23" s="35">
        <f>P9/(1+$C$3)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P24" s="14">
        <f>IFERROR((P23-K9)/K9,"-")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P25" s="14">
        <f>IFERROR((P23-O9)/O9,"-")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P26" s="30">
        <f>P23-K9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P27" s="30">
        <f>P23-O9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P29" s="14">
        <f>IFERROR((P23-P15)/P15,"-")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5182</v>
      </c>
      <c r="E32" s="35" t="n">
        <v>5309</v>
      </c>
      <c r="F32" s="35" t="n">
        <v>5408</v>
      </c>
      <c r="G32" s="35" t="n">
        <v>5606</v>
      </c>
      <c r="H32" s="36">
        <f>SUM(D32:G32)</f>
        <v/>
      </c>
      <c r="I32" s="34" t="n">
        <v>5714</v>
      </c>
      <c r="J32" s="35" t="n">
        <v>5873</v>
      </c>
      <c r="K32" s="35" t="n">
        <v>5988</v>
      </c>
      <c r="L32" s="35" t="n">
        <v>6194</v>
      </c>
      <c r="M32" s="36">
        <f>SUM(I32:L32)</f>
        <v/>
      </c>
      <c r="N32" s="34" t="n">
        <v>6398</v>
      </c>
      <c r="R32" s="8" t="n"/>
      <c r="S32" s="7" t="n"/>
      <c r="W32" s="8" t="n"/>
    </row>
    <row r="33">
      <c r="B33" s="3" t="inlineStr">
        <is>
          <t>Consensus Revenue</t>
        </is>
      </c>
      <c r="D33" s="34" t="n">
        <v>5143.432923</v>
      </c>
      <c r="E33" s="35" t="n">
        <v>5291.458037</v>
      </c>
      <c r="F33" s="35" t="n">
        <v>5371.968421</v>
      </c>
      <c r="G33" s="35" t="n">
        <v>5539.960692</v>
      </c>
      <c r="H33" s="36">
        <f>SUM(D33:G33)</f>
        <v/>
      </c>
      <c r="I33" s="34" t="n">
        <v>5661.513687</v>
      </c>
      <c r="J33" s="35" t="n">
        <v>5799.327321</v>
      </c>
      <c r="K33" s="35" t="n">
        <v>5918.001977</v>
      </c>
      <c r="L33" s="35" t="n">
        <v>6110.25</v>
      </c>
      <c r="M33" s="36">
        <f>SUM(I33:L33)</f>
        <v/>
      </c>
      <c r="N33" s="34" t="n">
        <v>6276.514</v>
      </c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29">
        <f>N32-N33</f>
        <v/>
      </c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39">
        <f>IFERROR((N32-N33)/N33,"-")</f>
        <v/>
      </c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>
        <f>AVERAGE(J35,K35,L35,N35)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>
        <f>AVERAGE(E35,F35,G35,I35,J35,K35,L35,N35)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0.0144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X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  <col width="10.5" customWidth="1" min="24" max="24"/>
  </cols>
  <sheetData>
    <row r="1">
      <c r="B1" s="1" t="inlineStr">
        <is>
          <t>INTU: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0.0271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ACCELERATING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  <c r="X7" s="4" t="inlineStr">
        <is>
          <t>Q1-28E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  <c r="X8" s="7" t="n"/>
    </row>
    <row r="9">
      <c r="B9" s="3" t="inlineStr">
        <is>
          <t>Total Revenue</t>
        </is>
      </c>
      <c r="D9" s="34" t="n">
        <v>3386</v>
      </c>
      <c r="E9" s="35" t="n">
        <v>6737</v>
      </c>
      <c r="F9" s="35" t="n">
        <v>3184</v>
      </c>
      <c r="G9" s="35" t="n">
        <v>3283</v>
      </c>
      <c r="H9" s="36">
        <f>SUM(D9:G9)</f>
        <v/>
      </c>
      <c r="I9" s="34" t="n">
        <v>3963</v>
      </c>
      <c r="J9" s="35" t="n">
        <v>7754</v>
      </c>
      <c r="K9" s="35" t="n">
        <v>3831</v>
      </c>
      <c r="L9" s="35" t="n">
        <v>3885</v>
      </c>
      <c r="M9" s="36">
        <f>SUM(I9:L9)</f>
        <v/>
      </c>
      <c r="N9" s="34" t="n">
        <v>4651</v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  <c r="X9" s="34">
        <f>V9+X13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  <c r="X10" s="22">
        <f>IFERROR((X9-S9)/S9,"-")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  <c r="X11" s="22">
        <f>IFERROR((X9-V9)/V9,"-")</f>
        <v/>
      </c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  <c r="X12" s="29">
        <f>X9-S9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29">
        <f>N9-L9</f>
        <v/>
      </c>
      <c r="O13" s="37" t="n">
        <v>-437.337136</v>
      </c>
      <c r="P13" s="37" t="n">
        <v>1153.396789</v>
      </c>
      <c r="Q13" s="37" t="n">
        <v>-270.646292</v>
      </c>
      <c r="R13" s="8" t="n"/>
      <c r="S13" s="38" t="n">
        <v>504.150519</v>
      </c>
      <c r="T13" s="37" t="n">
        <v>2345.141576</v>
      </c>
      <c r="U13" s="37" t="n">
        <v>-422.739136</v>
      </c>
      <c r="V13" s="37" t="n">
        <v>-11.736672</v>
      </c>
      <c r="W13" s="8" t="n"/>
      <c r="X13" s="38" t="n">
        <v>418.815305</v>
      </c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  <c r="X14" s="7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7" t="n"/>
      <c r="O15" s="35" t="n">
        <v>4102.485507</v>
      </c>
      <c r="P15" s="35" t="n">
        <v>4911.366819</v>
      </c>
      <c r="Q15" s="35" t="n">
        <v>9204.625031</v>
      </c>
      <c r="R15" s="8" t="n"/>
      <c r="S15" s="34" t="n">
        <v>4547.706796</v>
      </c>
      <c r="T15" s="35" t="n">
        <v>9404.644259000001</v>
      </c>
      <c r="U15" s="35" t="n">
        <v>4721.80556</v>
      </c>
      <c r="V15" s="35" t="n">
        <v>5027.088425</v>
      </c>
      <c r="W15" s="36">
        <f>SUM(S15:V15)</f>
        <v/>
      </c>
      <c r="X15" s="34" t="n">
        <v>5872.795511</v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7" t="n"/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8" t="n"/>
      <c r="X16" s="22">
        <f>IFERROR((X15-S15)/S15,"-")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  <c r="X17" s="22">
        <f>IFERROR((X15-V15)/V15,"-")</f>
        <v/>
      </c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7" t="n"/>
      <c r="T18" s="30">
        <f>T15-O15</f>
        <v/>
      </c>
      <c r="U18" s="30">
        <f>U15-P15</f>
        <v/>
      </c>
      <c r="V18" s="30">
        <f>V15-Q15</f>
        <v/>
      </c>
      <c r="W18" s="8" t="n"/>
      <c r="X18" s="29">
        <f>X15-S15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  <c r="X19" s="29">
        <f>X15-V15</f>
        <v/>
      </c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  <c r="X20" s="7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7" t="n"/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  <c r="X21" s="22">
        <f>IFERROR((X9-X15)/X15,"-")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  <c r="X22" s="7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P23" s="35">
        <f>P9/(1+$C$3)</f>
        <v/>
      </c>
      <c r="R23" s="8" t="n"/>
      <c r="S23" s="7" t="n"/>
      <c r="W23" s="8" t="n"/>
      <c r="X23" s="7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P24" s="14">
        <f>IFERROR((P23-K9)/K9,"-")</f>
        <v/>
      </c>
      <c r="R24" s="8" t="n"/>
      <c r="S24" s="7" t="n"/>
      <c r="W24" s="8" t="n"/>
      <c r="X24" s="7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P25" s="14">
        <f>IFERROR((P23-O9)/O9,"-")</f>
        <v/>
      </c>
      <c r="R25" s="8" t="n"/>
      <c r="S25" s="7" t="n"/>
      <c r="W25" s="8" t="n"/>
      <c r="X25" s="7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P26" s="30">
        <f>P23-K9</f>
        <v/>
      </c>
      <c r="R26" s="8" t="n"/>
      <c r="S26" s="7" t="n"/>
      <c r="W26" s="8" t="n"/>
      <c r="X26" s="7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P27" s="30">
        <f>P23-O9</f>
        <v/>
      </c>
      <c r="R27" s="8" t="n"/>
      <c r="S27" s="7" t="n"/>
      <c r="W27" s="8" t="n"/>
      <c r="X27" s="7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  <c r="X28" s="7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P29" s="14">
        <f>IFERROR((P23-P15)/P15,"-")</f>
        <v/>
      </c>
      <c r="R29" s="8" t="n"/>
      <c r="S29" s="7" t="n"/>
      <c r="W29" s="8" t="n"/>
      <c r="X29" s="7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  <c r="X30" s="7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  <c r="X31" s="7" t="n"/>
    </row>
    <row r="32">
      <c r="B32" s="3" t="inlineStr">
        <is>
          <t>Actual Revenue</t>
        </is>
      </c>
      <c r="D32" s="34" t="n">
        <v>3386</v>
      </c>
      <c r="E32" s="35" t="n">
        <v>6737</v>
      </c>
      <c r="F32" s="35" t="n">
        <v>3184</v>
      </c>
      <c r="G32" s="35" t="n">
        <v>3283</v>
      </c>
      <c r="H32" s="36">
        <f>SUM(D32:G32)</f>
        <v/>
      </c>
      <c r="I32" s="34" t="n">
        <v>3963</v>
      </c>
      <c r="J32" s="35" t="n">
        <v>7754</v>
      </c>
      <c r="K32" s="35" t="n">
        <v>3831</v>
      </c>
      <c r="L32" s="35" t="n">
        <v>3885</v>
      </c>
      <c r="M32" s="36">
        <f>SUM(I32:L32)</f>
        <v/>
      </c>
      <c r="N32" s="34" t="n">
        <v>4651</v>
      </c>
      <c r="R32" s="8" t="n"/>
      <c r="S32" s="7" t="n"/>
      <c r="W32" s="8" t="n"/>
      <c r="X32" s="7" t="n"/>
    </row>
    <row r="33">
      <c r="B33" s="3" t="inlineStr">
        <is>
          <t>Consensus Revenue</t>
        </is>
      </c>
      <c r="D33" s="34" t="n">
        <v>3386.488777</v>
      </c>
      <c r="E33" s="35" t="n">
        <v>6647.681357</v>
      </c>
      <c r="F33" s="35" t="n">
        <v>3084.711015</v>
      </c>
      <c r="G33" s="35" t="n">
        <v>3139.982647</v>
      </c>
      <c r="H33" s="36">
        <f>SUM(D33:G33)</f>
        <v/>
      </c>
      <c r="I33" s="34" t="n">
        <v>3834.273674</v>
      </c>
      <c r="J33" s="35" t="n">
        <v>7567.536893</v>
      </c>
      <c r="K33" s="35" t="n">
        <v>3743.497871</v>
      </c>
      <c r="L33" s="35" t="n">
        <v>3756.292308</v>
      </c>
      <c r="M33" s="36">
        <f>SUM(I33:L33)</f>
        <v/>
      </c>
      <c r="N33" s="34" t="n">
        <v>4533.614</v>
      </c>
      <c r="R33" s="8" t="n"/>
      <c r="S33" s="7" t="n"/>
      <c r="W33" s="8" t="n"/>
      <c r="X33" s="7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29">
        <f>N32-N33</f>
        <v/>
      </c>
      <c r="R34" s="8" t="n"/>
      <c r="S34" s="7" t="n"/>
      <c r="W34" s="8" t="n"/>
      <c r="X34" s="7" t="n"/>
    </row>
    <row r="35">
      <c r="B35" s="2" t="inlineStr">
        <is>
          <t xml:space="preserve">   Beat / Miss (%)</t>
        </is>
      </c>
      <c r="D35" s="44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39">
        <f>IFERROR((N32-N33)/N33,"-")</f>
        <v/>
      </c>
      <c r="R35" s="8" t="n"/>
      <c r="S35" s="7" t="n"/>
      <c r="W35" s="8" t="n"/>
      <c r="X35" s="7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  <c r="X36" s="7" t="n"/>
    </row>
    <row r="37">
      <c r="B37" s="2" t="inlineStr">
        <is>
          <t xml:space="preserve">   Trailing 4Q Avg Beat</t>
        </is>
      </c>
      <c r="C37" s="41">
        <f>AVERAGE(J35,K35,L35,N35)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  <c r="X37" s="7" t="n"/>
    </row>
    <row r="38">
      <c r="B38" s="2" t="inlineStr">
        <is>
          <t xml:space="preserve">   Trailing 8Q Avg Beat</t>
        </is>
      </c>
      <c r="C38" s="41">
        <f>AVERAGE(E35,F35,G35,I35,J35,K35,L35,N35)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  <c r="X38" s="7" t="n"/>
    </row>
    <row r="39">
      <c r="B39" s="2" t="inlineStr">
        <is>
          <t xml:space="preserve">   Selected Beat Cadence</t>
        </is>
      </c>
      <c r="C39" s="42" t="n">
        <v>0.0271</v>
      </c>
      <c r="D39" s="7" t="n"/>
      <c r="H39" s="8" t="n"/>
      <c r="I39" s="7" t="n"/>
      <c r="M39" s="8" t="n"/>
      <c r="N39" s="7" t="n"/>
      <c r="R39" s="8" t="n"/>
      <c r="S39" s="7" t="n"/>
      <c r="W39" s="8" t="n"/>
      <c r="X39" s="7" t="n"/>
    </row>
  </sheetData>
  <conditionalFormatting sqref="D21:X21">
    <cfRule type="expression" priority="1" dxfId="0">
      <formula>D21&gt;0</formula>
    </cfRule>
    <cfRule type="expression" priority="2" dxfId="1">
      <formula>D21&lt;0</formula>
    </cfRule>
  </conditionalFormatting>
  <conditionalFormatting sqref="D29:X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X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  <col width="10.5" customWidth="1" min="24" max="24"/>
  </cols>
  <sheetData>
    <row r="1">
      <c r="B1" s="1" t="inlineStr">
        <is>
          <t>WDAY: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0.0046</v>
      </c>
    </row>
    <row r="4">
      <c r="B4" s="9" t="inlineStr">
        <is>
          <t>Beat Window</t>
        </is>
      </c>
      <c r="C4" s="33" t="inlineStr">
        <is>
          <t>8Q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  <c r="X7" s="4" t="inlineStr">
        <is>
          <t>Q1-28E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  <c r="X8" s="7" t="n"/>
    </row>
    <row r="9">
      <c r="B9" s="3" t="inlineStr">
        <is>
          <t>Total Revenue</t>
        </is>
      </c>
      <c r="D9" s="34" t="n">
        <v>1938.014</v>
      </c>
      <c r="E9" s="35" t="n">
        <v>1990</v>
      </c>
      <c r="F9" s="35" t="n">
        <v>2085</v>
      </c>
      <c r="G9" s="35" t="n">
        <v>2160</v>
      </c>
      <c r="H9" s="36">
        <f>SUM(D9:G9)</f>
        <v/>
      </c>
      <c r="I9" s="34" t="n">
        <v>2211</v>
      </c>
      <c r="J9" s="35" t="n">
        <v>2240</v>
      </c>
      <c r="K9" s="35" t="n">
        <v>2348</v>
      </c>
      <c r="L9" s="35" t="n">
        <v>2432</v>
      </c>
      <c r="M9" s="36">
        <f>SUM(I9:L9)</f>
        <v/>
      </c>
      <c r="N9" s="34" t="n">
        <v>2532</v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  <c r="X9" s="34">
        <f>V9+X13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  <c r="X10" s="22">
        <f>IFERROR((X9-S9)/S9,"-")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  <c r="X11" s="22">
        <f>IFERROR((X9-V9)/V9,"-")</f>
        <v/>
      </c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  <c r="X12" s="29">
        <f>X9-S9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29">
        <f>N9-L9</f>
        <v/>
      </c>
      <c r="O13" s="37" t="n">
        <v>-21.058016</v>
      </c>
      <c r="P13" s="37" t="n">
        <v>111.605417</v>
      </c>
      <c r="Q13" s="37" t="n">
        <v>85.759632</v>
      </c>
      <c r="R13" s="8" t="n"/>
      <c r="S13" s="38" t="n">
        <v>93.975722</v>
      </c>
      <c r="T13" s="37" t="n">
        <v>38.348931</v>
      </c>
      <c r="U13" s="37" t="n">
        <v>80.455293</v>
      </c>
      <c r="V13" s="37" t="n">
        <v>84.57786299999999</v>
      </c>
      <c r="W13" s="8" t="n"/>
      <c r="X13" s="38" t="n">
        <v>92.568712</v>
      </c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  <c r="X14" s="7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7" t="n"/>
      <c r="O15" s="35" t="n">
        <v>2499.444539</v>
      </c>
      <c r="P15" s="35" t="n">
        <v>2619.953472</v>
      </c>
      <c r="Q15" s="35" t="n">
        <v>2708.027776</v>
      </c>
      <c r="R15" s="8" t="n"/>
      <c r="S15" s="34" t="n">
        <v>2804.139202</v>
      </c>
      <c r="T15" s="35" t="n">
        <v>2803.446139</v>
      </c>
      <c r="U15" s="35" t="n">
        <v>2918.516743</v>
      </c>
      <c r="V15" s="35" t="n">
        <v>3007.603182</v>
      </c>
      <c r="W15" s="36">
        <f>SUM(S15:V15)</f>
        <v/>
      </c>
      <c r="X15" s="34" t="n">
        <v>3116.740547</v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7" t="n"/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8" t="n"/>
      <c r="X16" s="22">
        <f>IFERROR((X15-S15)/S15,"-")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  <c r="X17" s="22">
        <f>IFERROR((X15-V15)/V15,"-")</f>
        <v/>
      </c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7" t="n"/>
      <c r="T18" s="30">
        <f>T15-O15</f>
        <v/>
      </c>
      <c r="U18" s="30">
        <f>U15-P15</f>
        <v/>
      </c>
      <c r="V18" s="30">
        <f>V15-Q15</f>
        <v/>
      </c>
      <c r="W18" s="8" t="n"/>
      <c r="X18" s="29">
        <f>X15-S15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  <c r="X19" s="29">
        <f>X15-V15</f>
        <v/>
      </c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  <c r="X20" s="7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7" t="n"/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  <c r="X21" s="22">
        <f>IFERROR((X9-X15)/X15,"-")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  <c r="X22" s="7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P23" s="35">
        <f>P9/(1+$C$3)</f>
        <v/>
      </c>
      <c r="R23" s="8" t="n"/>
      <c r="S23" s="7" t="n"/>
      <c r="W23" s="8" t="n"/>
      <c r="X23" s="7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P24" s="14">
        <f>IFERROR((P23-K9)/K9,"-")</f>
        <v/>
      </c>
      <c r="R24" s="8" t="n"/>
      <c r="S24" s="7" t="n"/>
      <c r="W24" s="8" t="n"/>
      <c r="X24" s="7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P25" s="14">
        <f>IFERROR((P23-O9)/O9,"-")</f>
        <v/>
      </c>
      <c r="R25" s="8" t="n"/>
      <c r="S25" s="7" t="n"/>
      <c r="W25" s="8" t="n"/>
      <c r="X25" s="7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P26" s="30">
        <f>P23-K9</f>
        <v/>
      </c>
      <c r="R26" s="8" t="n"/>
      <c r="S26" s="7" t="n"/>
      <c r="W26" s="8" t="n"/>
      <c r="X26" s="7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P27" s="30">
        <f>P23-O9</f>
        <v/>
      </c>
      <c r="R27" s="8" t="n"/>
      <c r="S27" s="7" t="n"/>
      <c r="W27" s="8" t="n"/>
      <c r="X27" s="7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  <c r="X28" s="7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P29" s="14">
        <f>IFERROR((P23-P15)/P15,"-")</f>
        <v/>
      </c>
      <c r="R29" s="8" t="n"/>
      <c r="S29" s="7" t="n"/>
      <c r="W29" s="8" t="n"/>
      <c r="X29" s="7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  <c r="X30" s="7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  <c r="X31" s="7" t="n"/>
    </row>
    <row r="32">
      <c r="B32" s="3" t="inlineStr">
        <is>
          <t>Actual Revenue</t>
        </is>
      </c>
      <c r="D32" s="34" t="n">
        <v>1938.014</v>
      </c>
      <c r="E32" s="35" t="n">
        <v>1990</v>
      </c>
      <c r="F32" s="35" t="n">
        <v>2085</v>
      </c>
      <c r="G32" s="35" t="n">
        <v>2160</v>
      </c>
      <c r="H32" s="36">
        <f>SUM(D32:G32)</f>
        <v/>
      </c>
      <c r="I32" s="34" t="n">
        <v>2211</v>
      </c>
      <c r="J32" s="35" t="n">
        <v>2240</v>
      </c>
      <c r="K32" s="35" t="n">
        <v>2348</v>
      </c>
      <c r="L32" s="35" t="n">
        <v>2432</v>
      </c>
      <c r="M32" s="36">
        <f>SUM(I32:L32)</f>
        <v/>
      </c>
      <c r="N32" s="34" t="n">
        <v>2532</v>
      </c>
      <c r="R32" s="8" t="n"/>
      <c r="S32" s="7" t="n"/>
      <c r="W32" s="8" t="n"/>
      <c r="X32" s="7" t="n"/>
    </row>
    <row r="33">
      <c r="B33" s="3" t="inlineStr">
        <is>
          <t>Consensus Revenue</t>
        </is>
      </c>
      <c r="D33" s="34" t="n">
        <v>1916.738459</v>
      </c>
      <c r="E33" s="35" t="n">
        <v>1975.916617</v>
      </c>
      <c r="F33" s="35" t="n">
        <v>2072.099581</v>
      </c>
      <c r="G33" s="35" t="n">
        <v>2138.368391</v>
      </c>
      <c r="H33" s="36">
        <f>SUM(D33:G33)</f>
        <v/>
      </c>
      <c r="I33" s="34" t="n">
        <v>2183.935469</v>
      </c>
      <c r="J33" s="35" t="n">
        <v>2217.731758</v>
      </c>
      <c r="K33" s="35" t="n">
        <v>2341.451111</v>
      </c>
      <c r="L33" s="35" t="n">
        <v>2417.092509</v>
      </c>
      <c r="M33" s="36">
        <f>SUM(I33:L33)</f>
        <v/>
      </c>
      <c r="N33" s="34" t="n">
        <v>2523.734</v>
      </c>
      <c r="R33" s="8" t="n"/>
      <c r="S33" s="7" t="n"/>
      <c r="W33" s="8" t="n"/>
      <c r="X33" s="7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29">
        <f>N32-N33</f>
        <v/>
      </c>
      <c r="R34" s="8" t="n"/>
      <c r="S34" s="7" t="n"/>
      <c r="W34" s="8" t="n"/>
      <c r="X34" s="7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39">
        <f>IFERROR((N32-N33)/N33,"-")</f>
        <v/>
      </c>
      <c r="R35" s="8" t="n"/>
      <c r="S35" s="7" t="n"/>
      <c r="W35" s="8" t="n"/>
      <c r="X35" s="7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  <c r="X36" s="7" t="n"/>
    </row>
    <row r="37">
      <c r="B37" s="2" t="inlineStr">
        <is>
          <t xml:space="preserve">   Trailing 4Q Avg Beat</t>
        </is>
      </c>
      <c r="C37" s="41">
        <f>AVERAGE(J35,K35,L35,N35)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  <c r="X37" s="7" t="n"/>
    </row>
    <row r="38">
      <c r="B38" s="2" t="inlineStr">
        <is>
          <t xml:space="preserve">   Trailing 8Q Avg Beat</t>
        </is>
      </c>
      <c r="C38" s="41">
        <f>AVERAGE(E35,F35,G35,I35,J35,K35,L35,N35)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  <c r="X38" s="7" t="n"/>
    </row>
    <row r="39">
      <c r="B39" s="2" t="inlineStr">
        <is>
          <t xml:space="preserve">   Selected Beat Cadence</t>
        </is>
      </c>
      <c r="C39" s="42" t="n">
        <v>0.0046</v>
      </c>
      <c r="D39" s="7" t="n"/>
      <c r="H39" s="8" t="n"/>
      <c r="I39" s="7" t="n"/>
      <c r="M39" s="8" t="n"/>
      <c r="N39" s="7" t="n"/>
      <c r="R39" s="8" t="n"/>
      <c r="S39" s="7" t="n"/>
      <c r="W39" s="8" t="n"/>
      <c r="X39" s="7" t="n"/>
    </row>
  </sheetData>
  <conditionalFormatting sqref="D21:X21">
    <cfRule type="expression" priority="1" dxfId="0">
      <formula>D21&gt;0</formula>
    </cfRule>
    <cfRule type="expression" priority="2" dxfId="1">
      <formula>D21&lt;0</formula>
    </cfRule>
  </conditionalFormatting>
  <conditionalFormatting sqref="D29:X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X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  <col width="10.5" customWidth="1" min="24" max="24"/>
  </cols>
  <sheetData>
    <row r="1">
      <c r="B1" s="1" t="inlineStr">
        <is>
          <t>PANW: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0.0077</v>
      </c>
    </row>
    <row r="4">
      <c r="B4" s="9" t="inlineStr">
        <is>
          <t>Beat Window</t>
        </is>
      </c>
      <c r="C4" s="33" t="inlineStr">
        <is>
          <t>8Q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  <c r="X7" s="4" t="inlineStr">
        <is>
          <t>Q1-28E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  <c r="X8" s="7" t="n"/>
    </row>
    <row r="9">
      <c r="B9" s="3" t="inlineStr">
        <is>
          <t>Total Revenue</t>
        </is>
      </c>
      <c r="D9" s="34" t="n">
        <v>1975.1</v>
      </c>
      <c r="E9" s="35" t="n">
        <v>1984.8</v>
      </c>
      <c r="F9" s="35" t="n">
        <v>2189.5</v>
      </c>
      <c r="G9" s="35" t="n">
        <v>2139</v>
      </c>
      <c r="H9" s="36">
        <f>SUM(D9:G9)</f>
        <v/>
      </c>
      <c r="I9" s="34" t="n">
        <v>2257.4</v>
      </c>
      <c r="J9" s="35" t="n">
        <v>2289</v>
      </c>
      <c r="K9" s="35" t="n">
        <v>2536.1</v>
      </c>
      <c r="L9" s="35" t="n">
        <v>2474</v>
      </c>
      <c r="M9" s="36">
        <f>SUM(I9:L9)</f>
        <v/>
      </c>
      <c r="N9" s="34" t="n">
        <v>2594</v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  <c r="X9" s="34">
        <f>V9+X13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  <c r="X10" s="22">
        <f>IFERROR((X9-S9)/S9,"-")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  <c r="X11" s="22">
        <f>IFERROR((X9-V9)/V9,"-")</f>
        <v/>
      </c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  <c r="X12" s="29">
        <f>X9-S9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29">
        <f>N9-L9</f>
        <v/>
      </c>
      <c r="O13" s="37" t="n">
        <v>372.710905</v>
      </c>
      <c r="P13" s="37" t="n">
        <v>-128.66279</v>
      </c>
      <c r="Q13" s="37" t="n">
        <v>3.456969</v>
      </c>
      <c r="R13" s="8" t="n"/>
      <c r="S13" s="38" t="n">
        <v>88.92358299999999</v>
      </c>
      <c r="T13" s="37" t="n">
        <v>57.668744</v>
      </c>
      <c r="U13" s="37" t="n">
        <v>148.464273</v>
      </c>
      <c r="V13" s="37" t="n">
        <v>68.15139600000001</v>
      </c>
      <c r="W13" s="8" t="n"/>
      <c r="X13" s="38" t="n">
        <v>92.590817</v>
      </c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  <c r="X14" s="7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7" t="n"/>
      <c r="O15" s="35" t="n">
        <v>2944.041783</v>
      </c>
      <c r="P15" s="35" t="n">
        <v>3276.842228</v>
      </c>
      <c r="Q15" s="35" t="n">
        <v>3165.164918</v>
      </c>
      <c r="R15" s="8" t="n"/>
      <c r="S15" s="34" t="n">
        <v>3288.825862</v>
      </c>
      <c r="T15" s="35" t="n">
        <v>3368.9351</v>
      </c>
      <c r="U15" s="35" t="n">
        <v>3693.553769</v>
      </c>
      <c r="V15" s="35" t="n">
        <v>3603.635216</v>
      </c>
      <c r="W15" s="36">
        <f>SUM(S15:V15)</f>
        <v/>
      </c>
      <c r="X15" s="34" t="n">
        <v>3746.121968</v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7" t="n"/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8" t="n"/>
      <c r="X16" s="22">
        <f>IFERROR((X15-S15)/S15,"-")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  <c r="X17" s="22">
        <f>IFERROR((X15-V15)/V15,"-")</f>
        <v/>
      </c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7" t="n"/>
      <c r="T18" s="30">
        <f>T15-O15</f>
        <v/>
      </c>
      <c r="U18" s="30">
        <f>U15-P15</f>
        <v/>
      </c>
      <c r="V18" s="30">
        <f>V15-Q15</f>
        <v/>
      </c>
      <c r="W18" s="8" t="n"/>
      <c r="X18" s="29">
        <f>X15-S15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  <c r="X19" s="29">
        <f>X15-V15</f>
        <v/>
      </c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  <c r="X20" s="7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7" t="n"/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  <c r="X21" s="22">
        <f>IFERROR((X9-X15)/X15,"-")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  <c r="X22" s="7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P23" s="35">
        <f>P9/(1+$C$3)</f>
        <v/>
      </c>
      <c r="R23" s="8" t="n"/>
      <c r="S23" s="7" t="n"/>
      <c r="W23" s="8" t="n"/>
      <c r="X23" s="7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P24" s="14">
        <f>IFERROR((P23-K9)/K9,"-")</f>
        <v/>
      </c>
      <c r="R24" s="8" t="n"/>
      <c r="S24" s="7" t="n"/>
      <c r="W24" s="8" t="n"/>
      <c r="X24" s="7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P25" s="14">
        <f>IFERROR((P23-O9)/O9,"-")</f>
        <v/>
      </c>
      <c r="R25" s="8" t="n"/>
      <c r="S25" s="7" t="n"/>
      <c r="W25" s="8" t="n"/>
      <c r="X25" s="7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P26" s="30">
        <f>P23-K9</f>
        <v/>
      </c>
      <c r="R26" s="8" t="n"/>
      <c r="S26" s="7" t="n"/>
      <c r="W26" s="8" t="n"/>
      <c r="X26" s="7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P27" s="30">
        <f>P23-O9</f>
        <v/>
      </c>
      <c r="R27" s="8" t="n"/>
      <c r="S27" s="7" t="n"/>
      <c r="W27" s="8" t="n"/>
      <c r="X27" s="7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  <c r="X28" s="7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P29" s="14">
        <f>IFERROR((P23-P15)/P15,"-")</f>
        <v/>
      </c>
      <c r="R29" s="8" t="n"/>
      <c r="S29" s="7" t="n"/>
      <c r="W29" s="8" t="n"/>
      <c r="X29" s="7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  <c r="X30" s="7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  <c r="X31" s="7" t="n"/>
    </row>
    <row r="32">
      <c r="B32" s="3" t="inlineStr">
        <is>
          <t>Actual Revenue</t>
        </is>
      </c>
      <c r="D32" s="34" t="n">
        <v>1975.1</v>
      </c>
      <c r="E32" s="35" t="n">
        <v>1984.8</v>
      </c>
      <c r="F32" s="35" t="n">
        <v>2189.5</v>
      </c>
      <c r="G32" s="35" t="n">
        <v>2139</v>
      </c>
      <c r="H32" s="36">
        <f>SUM(D32:G32)</f>
        <v/>
      </c>
      <c r="I32" s="34" t="n">
        <v>2257.4</v>
      </c>
      <c r="J32" s="35" t="n">
        <v>2289</v>
      </c>
      <c r="K32" s="35" t="n">
        <v>2536.1</v>
      </c>
      <c r="L32" s="35" t="n">
        <v>2474</v>
      </c>
      <c r="M32" s="36">
        <f>SUM(I32:L32)</f>
        <v/>
      </c>
      <c r="N32" s="34" t="n">
        <v>2594</v>
      </c>
      <c r="R32" s="8" t="n"/>
      <c r="S32" s="7" t="n"/>
      <c r="W32" s="8" t="n"/>
      <c r="X32" s="7" t="n"/>
    </row>
    <row r="33">
      <c r="B33" s="3" t="inlineStr">
        <is>
          <t>Consensus Revenue</t>
        </is>
      </c>
      <c r="D33" s="34" t="n">
        <v>1970.974896</v>
      </c>
      <c r="E33" s="35" t="n">
        <v>1973.738751</v>
      </c>
      <c r="F33" s="35" t="n">
        <v>2162.383186</v>
      </c>
      <c r="G33" s="35" t="n">
        <v>2120.918152</v>
      </c>
      <c r="H33" s="36">
        <f>SUM(D33:G33)</f>
        <v/>
      </c>
      <c r="I33" s="34" t="n">
        <v>2241.481684</v>
      </c>
      <c r="J33" s="35" t="n">
        <v>2279.142304</v>
      </c>
      <c r="K33" s="35" t="n">
        <v>2501.491265</v>
      </c>
      <c r="L33" s="35" t="n">
        <v>2461.743081</v>
      </c>
      <c r="M33" s="36">
        <f>SUM(I33:L33)</f>
        <v/>
      </c>
      <c r="N33" s="34" t="n">
        <v>2582.811</v>
      </c>
      <c r="R33" s="8" t="n"/>
      <c r="S33" s="7" t="n"/>
      <c r="W33" s="8" t="n"/>
      <c r="X33" s="7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29">
        <f>N32-N33</f>
        <v/>
      </c>
      <c r="R34" s="8" t="n"/>
      <c r="S34" s="7" t="n"/>
      <c r="W34" s="8" t="n"/>
      <c r="X34" s="7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39">
        <f>IFERROR((N32-N33)/N33,"-")</f>
        <v/>
      </c>
      <c r="R35" s="8" t="n"/>
      <c r="S35" s="7" t="n"/>
      <c r="W35" s="8" t="n"/>
      <c r="X35" s="7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  <c r="X36" s="7" t="n"/>
    </row>
    <row r="37">
      <c r="B37" s="2" t="inlineStr">
        <is>
          <t xml:space="preserve">   Trailing 4Q Avg Beat</t>
        </is>
      </c>
      <c r="C37" s="41">
        <f>AVERAGE(J35,K35,L35,N35)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  <c r="X37" s="7" t="n"/>
    </row>
    <row r="38">
      <c r="B38" s="2" t="inlineStr">
        <is>
          <t xml:space="preserve">   Trailing 8Q Avg Beat</t>
        </is>
      </c>
      <c r="C38" s="41">
        <f>AVERAGE(E35,F35,G35,I35,J35,K35,L35,N35)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  <c r="X38" s="7" t="n"/>
    </row>
    <row r="39">
      <c r="B39" s="2" t="inlineStr">
        <is>
          <t xml:space="preserve">   Selected Beat Cadence</t>
        </is>
      </c>
      <c r="C39" s="42" t="n">
        <v>0.0077</v>
      </c>
      <c r="D39" s="7" t="n"/>
      <c r="H39" s="8" t="n"/>
      <c r="I39" s="7" t="n"/>
      <c r="M39" s="8" t="n"/>
      <c r="N39" s="7" t="n"/>
      <c r="R39" s="8" t="n"/>
      <c r="S39" s="7" t="n"/>
      <c r="W39" s="8" t="n"/>
      <c r="X39" s="7" t="n"/>
    </row>
  </sheetData>
  <conditionalFormatting sqref="D21:X21">
    <cfRule type="expression" priority="1" dxfId="0">
      <formula>D21&gt;0</formula>
    </cfRule>
    <cfRule type="expression" priority="2" dxfId="1">
      <formula>D21&lt;0</formula>
    </cfRule>
  </conditionalFormatting>
  <conditionalFormatting sqref="D29:X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CDNS: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0.0115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ACCELERATING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1009.103</v>
      </c>
      <c r="E9" s="35" t="n">
        <v>1060.681</v>
      </c>
      <c r="F9" s="35" t="n">
        <v>1215.499</v>
      </c>
      <c r="G9" s="35" t="n">
        <v>1355.981</v>
      </c>
      <c r="H9" s="36">
        <f>SUM(D9:G9)</f>
        <v/>
      </c>
      <c r="I9" s="34" t="n">
        <v>1242.366</v>
      </c>
      <c r="J9" s="35" t="n">
        <v>1275.441</v>
      </c>
      <c r="K9" s="35" t="n">
        <v>1338.838</v>
      </c>
      <c r="L9" s="35" t="n">
        <v>1440.114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-10.886766</v>
      </c>
      <c r="O13" s="37" t="n">
        <v>23.646159</v>
      </c>
      <c r="P13" s="37" t="n">
        <v>60.097409</v>
      </c>
      <c r="Q13" s="37" t="n">
        <v>86.07731200000001</v>
      </c>
      <c r="R13" s="8" t="n"/>
      <c r="S13" s="38" t="n">
        <v>26.917288</v>
      </c>
      <c r="T13" s="37" t="n">
        <v>35.659281</v>
      </c>
      <c r="U13" s="37" t="n">
        <v>51.919998</v>
      </c>
      <c r="V13" s="37" t="n">
        <v>71.468816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1412.977987</v>
      </c>
      <c r="O15" s="35" t="n">
        <v>1450.595119</v>
      </c>
      <c r="P15" s="35" t="n">
        <v>1519.612606</v>
      </c>
      <c r="Q15" s="35" t="n">
        <v>1604.541716</v>
      </c>
      <c r="R15" s="36">
        <f>SUM(N15:Q15)</f>
        <v/>
      </c>
      <c r="S15" s="34" t="n">
        <v>1577.008926</v>
      </c>
      <c r="T15" s="35" t="n">
        <v>1621.267045</v>
      </c>
      <c r="U15" s="35" t="n">
        <v>1704.245527</v>
      </c>
      <c r="V15" s="35" t="n">
        <v>1825.592033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1009.103</v>
      </c>
      <c r="E32" s="35" t="n">
        <v>1060.681</v>
      </c>
      <c r="F32" s="35" t="n">
        <v>1215.499</v>
      </c>
      <c r="G32" s="35" t="n">
        <v>1355.981</v>
      </c>
      <c r="H32" s="36">
        <f>SUM(D32:G32)</f>
        <v/>
      </c>
      <c r="I32" s="34" t="n">
        <v>1242.366</v>
      </c>
      <c r="J32" s="35" t="n">
        <v>1275.441</v>
      </c>
      <c r="K32" s="35" t="n">
        <v>1338.838</v>
      </c>
      <c r="L32" s="35" t="n">
        <v>1440.114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1002.252925</v>
      </c>
      <c r="E33" s="35" t="n">
        <v>1042.577722</v>
      </c>
      <c r="F33" s="35" t="n">
        <v>1181.212021</v>
      </c>
      <c r="G33" s="35" t="n">
        <v>1345.912203</v>
      </c>
      <c r="H33" s="36">
        <f>SUM(D33:G33)</f>
        <v/>
      </c>
      <c r="I33" s="34" t="n">
        <v>1239.849406</v>
      </c>
      <c r="J33" s="35" t="n">
        <v>1249.960748</v>
      </c>
      <c r="K33" s="35" t="n">
        <v>1322.861811</v>
      </c>
      <c r="L33" s="35" t="n">
        <v>1423.84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>
        <f>AVERAGE(I35,J35,K35,L35)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>
        <f>AVERAGE(D35,E35,F35,G35,I35,J35,K35,L35)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0.0115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X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  <col width="10.5" customWidth="1" min="24" max="24"/>
  </cols>
  <sheetData>
    <row r="1">
      <c r="B1" s="1" t="inlineStr">
        <is>
          <t>SNPS: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0.002</v>
      </c>
    </row>
    <row r="4">
      <c r="B4" s="9" t="inlineStr">
        <is>
          <t>Beat Window</t>
        </is>
      </c>
      <c r="C4" s="33" t="inlineStr">
        <is>
          <t>8Q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  <c r="X7" s="4" t="inlineStr">
        <is>
          <t>Q1-28E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  <c r="X8" s="7" t="n"/>
    </row>
    <row r="9">
      <c r="B9" s="3" t="inlineStr">
        <is>
          <t>Total Revenue</t>
        </is>
      </c>
      <c r="D9" s="34" t="n">
        <v>1510.989</v>
      </c>
      <c r="E9" s="35" t="n">
        <v>1454.712</v>
      </c>
      <c r="F9" s="35" t="n">
        <v>1525.749</v>
      </c>
      <c r="G9" s="35" t="n">
        <v>1635.986</v>
      </c>
      <c r="H9" s="36">
        <f>SUM(D9:G9)</f>
        <v/>
      </c>
      <c r="I9" s="34" t="n">
        <v>1455.315</v>
      </c>
      <c r="J9" s="35" t="n">
        <v>1604.266</v>
      </c>
      <c r="K9" s="35" t="n">
        <v>1739.737</v>
      </c>
      <c r="L9" s="35" t="n">
        <v>2254.86</v>
      </c>
      <c r="M9" s="36">
        <f>SUM(I9:L9)</f>
        <v/>
      </c>
      <c r="N9" s="34" t="n">
        <v>2408.798</v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  <c r="X9" s="34">
        <f>V9+X13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  <c r="X10" s="22">
        <f>IFERROR((X9-S9)/S9,"-")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  <c r="X11" s="22">
        <f>IFERROR((X9-V9)/V9,"-")</f>
        <v/>
      </c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  <c r="X12" s="29">
        <f>X9-S9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29">
        <f>N9-L9</f>
        <v/>
      </c>
      <c r="O13" s="37" t="n">
        <v>-313.173972</v>
      </c>
      <c r="P13" s="37" t="n">
        <v>-1.943093</v>
      </c>
      <c r="Q13" s="37" t="n">
        <v>437.966056</v>
      </c>
      <c r="R13" s="8" t="n"/>
      <c r="S13" s="38" t="n">
        <v>264.401682</v>
      </c>
      <c r="T13" s="37" t="n">
        <v>-89.05525900000001</v>
      </c>
      <c r="U13" s="37" t="n">
        <v>74.89001500000001</v>
      </c>
      <c r="V13" s="37" t="n">
        <v>292.066438</v>
      </c>
      <c r="W13" s="8" t="n"/>
      <c r="X13" s="38" t="n">
        <v>288.81495</v>
      </c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  <c r="X14" s="7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7" t="n"/>
      <c r="O15" s="35" t="n">
        <v>2091.441146</v>
      </c>
      <c r="P15" s="35" t="n">
        <v>2413.283484</v>
      </c>
      <c r="Q15" s="35" t="n">
        <v>2552.719587</v>
      </c>
      <c r="R15" s="8" t="n"/>
      <c r="S15" s="34" t="n">
        <v>2637.172656</v>
      </c>
      <c r="T15" s="35" t="n">
        <v>2516.4901</v>
      </c>
      <c r="U15" s="35" t="n">
        <v>2652.444345</v>
      </c>
      <c r="V15" s="35" t="n">
        <v>2825.884993</v>
      </c>
      <c r="W15" s="36">
        <f>SUM(S15:V15)</f>
        <v/>
      </c>
      <c r="X15" s="34" t="n">
        <v>2926.128333</v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7" t="n"/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8" t="n"/>
      <c r="X16" s="22">
        <f>IFERROR((X15-S15)/S15,"-")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  <c r="X17" s="22">
        <f>IFERROR((X15-V15)/V15,"-")</f>
        <v/>
      </c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7" t="n"/>
      <c r="T18" s="30">
        <f>T15-O15</f>
        <v/>
      </c>
      <c r="U18" s="30">
        <f>U15-P15</f>
        <v/>
      </c>
      <c r="V18" s="30">
        <f>V15-Q15</f>
        <v/>
      </c>
      <c r="W18" s="8" t="n"/>
      <c r="X18" s="29">
        <f>X15-S15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  <c r="X19" s="29">
        <f>X15-V15</f>
        <v/>
      </c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  <c r="X20" s="7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7" t="n"/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  <c r="X21" s="22">
        <f>IFERROR((X9-X15)/X15,"-")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  <c r="X22" s="7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P23" s="35">
        <f>P9/(1+$C$3)</f>
        <v/>
      </c>
      <c r="R23" s="8" t="n"/>
      <c r="S23" s="7" t="n"/>
      <c r="W23" s="8" t="n"/>
      <c r="X23" s="7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P24" s="14">
        <f>IFERROR((P23-K9)/K9,"-")</f>
        <v/>
      </c>
      <c r="R24" s="8" t="n"/>
      <c r="S24" s="7" t="n"/>
      <c r="W24" s="8" t="n"/>
      <c r="X24" s="7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P25" s="14">
        <f>IFERROR((P23-O9)/O9,"-")</f>
        <v/>
      </c>
      <c r="R25" s="8" t="n"/>
      <c r="S25" s="7" t="n"/>
      <c r="W25" s="8" t="n"/>
      <c r="X25" s="7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P26" s="30">
        <f>P23-K9</f>
        <v/>
      </c>
      <c r="R26" s="8" t="n"/>
      <c r="S26" s="7" t="n"/>
      <c r="W26" s="8" t="n"/>
      <c r="X26" s="7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P27" s="30">
        <f>P23-O9</f>
        <v/>
      </c>
      <c r="R27" s="8" t="n"/>
      <c r="S27" s="7" t="n"/>
      <c r="W27" s="8" t="n"/>
      <c r="X27" s="7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  <c r="X28" s="7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P29" s="14">
        <f>IFERROR((P23-P15)/P15,"-")</f>
        <v/>
      </c>
      <c r="R29" s="8" t="n"/>
      <c r="S29" s="7" t="n"/>
      <c r="W29" s="8" t="n"/>
      <c r="X29" s="7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  <c r="X30" s="7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  <c r="X31" s="7" t="n"/>
    </row>
    <row r="32">
      <c r="B32" s="3" t="inlineStr">
        <is>
          <t>Actual Revenue</t>
        </is>
      </c>
      <c r="D32" s="34" t="n">
        <v>1510.989</v>
      </c>
      <c r="E32" s="35" t="n">
        <v>1454.712</v>
      </c>
      <c r="F32" s="35" t="n">
        <v>1525.749</v>
      </c>
      <c r="G32" s="35" t="n">
        <v>1635.986</v>
      </c>
      <c r="H32" s="36">
        <f>SUM(D32:G32)</f>
        <v/>
      </c>
      <c r="I32" s="34" t="n">
        <v>1455.315</v>
      </c>
      <c r="J32" s="35" t="n">
        <v>1604.266</v>
      </c>
      <c r="K32" s="35" t="n">
        <v>1739.737</v>
      </c>
      <c r="L32" s="35" t="n">
        <v>2254.86</v>
      </c>
      <c r="M32" s="36">
        <f>SUM(I32:L32)</f>
        <v/>
      </c>
      <c r="N32" s="34" t="n">
        <v>2408.798</v>
      </c>
      <c r="R32" s="8" t="n"/>
      <c r="S32" s="7" t="n"/>
      <c r="W32" s="8" t="n"/>
      <c r="X32" s="7" t="n"/>
    </row>
    <row r="33">
      <c r="B33" s="3" t="inlineStr">
        <is>
          <t>Consensus Revenue</t>
        </is>
      </c>
      <c r="D33" s="34" t="n">
        <v>1645.196906</v>
      </c>
      <c r="E33" s="35" t="n">
        <v>1441.073393</v>
      </c>
      <c r="F33" s="35" t="n">
        <v>1520.081951</v>
      </c>
      <c r="G33" s="35" t="n">
        <v>1630.878385</v>
      </c>
      <c r="H33" s="36">
        <f>SUM(D33:G33)</f>
        <v/>
      </c>
      <c r="I33" s="34" t="n">
        <v>1451.664346</v>
      </c>
      <c r="J33" s="35" t="n">
        <v>1600.128362</v>
      </c>
      <c r="K33" s="35" t="n">
        <v>1768.431957</v>
      </c>
      <c r="L33" s="35" t="n">
        <v>2247.350899</v>
      </c>
      <c r="M33" s="36">
        <f>SUM(I33:L33)</f>
        <v/>
      </c>
      <c r="N33" s="34" t="n">
        <v>2389.846</v>
      </c>
      <c r="R33" s="8" t="n"/>
      <c r="S33" s="7" t="n"/>
      <c r="W33" s="8" t="n"/>
      <c r="X33" s="7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29">
        <f>N32-N33</f>
        <v/>
      </c>
      <c r="R34" s="8" t="n"/>
      <c r="S34" s="7" t="n"/>
      <c r="W34" s="8" t="n"/>
      <c r="X34" s="7" t="n"/>
    </row>
    <row r="35">
      <c r="B35" s="2" t="inlineStr">
        <is>
          <t xml:space="preserve">   Beat / Miss (%)</t>
        </is>
      </c>
      <c r="D35" s="44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3">
        <f>IFERROR((K32-K33)/K33,"-")</f>
        <v/>
      </c>
      <c r="L35" s="40">
        <f>IFERROR((L32-L33)/L33,"-")</f>
        <v/>
      </c>
      <c r="M35" s="23">
        <f>IFERROR((M32-M33)/M33,"-")</f>
        <v/>
      </c>
      <c r="N35" s="39">
        <f>IFERROR((N32-N33)/N33,"-")</f>
        <v/>
      </c>
      <c r="R35" s="8" t="n"/>
      <c r="S35" s="7" t="n"/>
      <c r="W35" s="8" t="n"/>
      <c r="X35" s="7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  <c r="X36" s="7" t="n"/>
    </row>
    <row r="37">
      <c r="B37" s="2" t="inlineStr">
        <is>
          <t xml:space="preserve">   Trailing 4Q Avg Beat</t>
        </is>
      </c>
      <c r="C37" s="41">
        <f>AVERAGE(J35,K35,L35,N35)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  <c r="X37" s="7" t="n"/>
    </row>
    <row r="38">
      <c r="B38" s="2" t="inlineStr">
        <is>
          <t xml:space="preserve">   Trailing 8Q Avg Beat</t>
        </is>
      </c>
      <c r="C38" s="41">
        <f>AVERAGE(E35,F35,G35,I35,J35,K35,L35,N35)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  <c r="X38" s="7" t="n"/>
    </row>
    <row r="39">
      <c r="B39" s="2" t="inlineStr">
        <is>
          <t xml:space="preserve">   Selected Beat Cadence</t>
        </is>
      </c>
      <c r="C39" s="42" t="n">
        <v>0.002</v>
      </c>
      <c r="D39" s="7" t="n"/>
      <c r="H39" s="8" t="n"/>
      <c r="I39" s="7" t="n"/>
      <c r="M39" s="8" t="n"/>
      <c r="N39" s="7" t="n"/>
      <c r="R39" s="8" t="n"/>
      <c r="S39" s="7" t="n"/>
      <c r="W39" s="8" t="n"/>
      <c r="X39" s="7" t="n"/>
    </row>
  </sheetData>
  <conditionalFormatting sqref="D21:X21">
    <cfRule type="expression" priority="1" dxfId="0">
      <formula>D21&gt;0</formula>
    </cfRule>
    <cfRule type="expression" priority="2" dxfId="1">
      <formula>D21&lt;0</formula>
    </cfRule>
  </conditionalFormatting>
  <conditionalFormatting sqref="D29:X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1:X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  <col width="10.5" customWidth="1" min="24" max="24"/>
  </cols>
  <sheetData>
    <row r="1">
      <c r="B1" s="1" t="inlineStr">
        <is>
          <t>ADSK: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0.0204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  <c r="X7" s="4" t="inlineStr">
        <is>
          <t>Q1-28E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  <c r="X8" s="7" t="n"/>
    </row>
    <row r="9">
      <c r="B9" s="3" t="inlineStr">
        <is>
          <t>Total Revenue</t>
        </is>
      </c>
      <c r="D9" s="34" t="n">
        <v>1463</v>
      </c>
      <c r="E9" s="35" t="n">
        <v>1412</v>
      </c>
      <c r="F9" s="35" t="n">
        <v>1500</v>
      </c>
      <c r="G9" s="35" t="n">
        <v>1567</v>
      </c>
      <c r="H9" s="36">
        <f>SUM(D9:G9)</f>
        <v/>
      </c>
      <c r="I9" s="34" t="n">
        <v>1652</v>
      </c>
      <c r="J9" s="35" t="n">
        <v>1633</v>
      </c>
      <c r="K9" s="35" t="n">
        <v>1763</v>
      </c>
      <c r="L9" s="35" t="n">
        <v>1853</v>
      </c>
      <c r="M9" s="36">
        <f>SUM(I9:L9)</f>
        <v/>
      </c>
      <c r="N9" s="34" t="n">
        <v>1957</v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  <c r="X9" s="34">
        <f>V9+X13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  <c r="X10" s="22">
        <f>IFERROR((X9-S9)/S9,"-")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  <c r="X11" s="22">
        <f>IFERROR((X9-V9)/V9,"-")</f>
        <v/>
      </c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  <c r="X12" s="29">
        <f>X9-S9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29">
        <f>N9-L9</f>
        <v/>
      </c>
      <c r="O13" s="37" t="n">
        <v>-72.21708</v>
      </c>
      <c r="P13" s="37" t="n">
        <v>151.683444</v>
      </c>
      <c r="Q13" s="37" t="n">
        <v>92.529251</v>
      </c>
      <c r="R13" s="8" t="n"/>
      <c r="S13" s="38" t="n">
        <v>94.700985</v>
      </c>
      <c r="T13" s="37" t="n">
        <v>26.536555</v>
      </c>
      <c r="U13" s="37" t="n">
        <v>80.367456</v>
      </c>
      <c r="V13" s="37" t="n">
        <v>86.68683299999999</v>
      </c>
      <c r="W13" s="8" t="n"/>
      <c r="X13" s="38" t="n">
        <v>92.62289199999999</v>
      </c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  <c r="X14" s="7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7" t="n"/>
      <c r="O15" s="35" t="n">
        <v>1847.102038</v>
      </c>
      <c r="P15" s="35" t="n">
        <v>1994.14629</v>
      </c>
      <c r="Q15" s="35" t="n">
        <v>2081.28948</v>
      </c>
      <c r="R15" s="8" t="n"/>
      <c r="S15" s="34" t="n">
        <v>2179.77161</v>
      </c>
      <c r="T15" s="35" t="n">
        <v>2083.391085</v>
      </c>
      <c r="U15" s="35" t="n">
        <v>2189.550632</v>
      </c>
      <c r="V15" s="35" t="n">
        <v>2288.75238</v>
      </c>
      <c r="W15" s="36">
        <f>SUM(S15:V15)</f>
        <v/>
      </c>
      <c r="X15" s="34" t="n">
        <v>2397.659384</v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7" t="n"/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8" t="n"/>
      <c r="X16" s="22">
        <f>IFERROR((X15-S15)/S15,"-")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  <c r="X17" s="22">
        <f>IFERROR((X15-V15)/V15,"-")</f>
        <v/>
      </c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7" t="n"/>
      <c r="T18" s="30">
        <f>T15-O15</f>
        <v/>
      </c>
      <c r="U18" s="30">
        <f>U15-P15</f>
        <v/>
      </c>
      <c r="V18" s="30">
        <f>V15-Q15</f>
        <v/>
      </c>
      <c r="W18" s="8" t="n"/>
      <c r="X18" s="29">
        <f>X15-S15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  <c r="X19" s="29">
        <f>X15-V15</f>
        <v/>
      </c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  <c r="X20" s="7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7" t="n"/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  <c r="X21" s="22">
        <f>IFERROR((X9-X15)/X15,"-")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  <c r="X22" s="7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P23" s="35">
        <f>P9/(1+$C$3)</f>
        <v/>
      </c>
      <c r="R23" s="8" t="n"/>
      <c r="S23" s="7" t="n"/>
      <c r="W23" s="8" t="n"/>
      <c r="X23" s="7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P24" s="14">
        <f>IFERROR((P23-K9)/K9,"-")</f>
        <v/>
      </c>
      <c r="R24" s="8" t="n"/>
      <c r="S24" s="7" t="n"/>
      <c r="W24" s="8" t="n"/>
      <c r="X24" s="7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P25" s="14">
        <f>IFERROR((P23-O9)/O9,"-")</f>
        <v/>
      </c>
      <c r="R25" s="8" t="n"/>
      <c r="S25" s="7" t="n"/>
      <c r="W25" s="8" t="n"/>
      <c r="X25" s="7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P26" s="30">
        <f>P23-K9</f>
        <v/>
      </c>
      <c r="R26" s="8" t="n"/>
      <c r="S26" s="7" t="n"/>
      <c r="W26" s="8" t="n"/>
      <c r="X26" s="7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P27" s="30">
        <f>P23-O9</f>
        <v/>
      </c>
      <c r="R27" s="8" t="n"/>
      <c r="S27" s="7" t="n"/>
      <c r="W27" s="8" t="n"/>
      <c r="X27" s="7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  <c r="X28" s="7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P29" s="14">
        <f>IFERROR((P23-P15)/P15,"-")</f>
        <v/>
      </c>
      <c r="R29" s="8" t="n"/>
      <c r="S29" s="7" t="n"/>
      <c r="W29" s="8" t="n"/>
      <c r="X29" s="7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  <c r="X30" s="7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  <c r="X31" s="7" t="n"/>
    </row>
    <row r="32">
      <c r="B32" s="3" t="inlineStr">
        <is>
          <t>Actual Revenue</t>
        </is>
      </c>
      <c r="D32" s="34" t="n">
        <v>1463</v>
      </c>
      <c r="E32" s="35" t="n">
        <v>1412</v>
      </c>
      <c r="F32" s="35" t="n">
        <v>1500</v>
      </c>
      <c r="G32" s="35" t="n">
        <v>1567</v>
      </c>
      <c r="H32" s="36">
        <f>SUM(D32:G32)</f>
        <v/>
      </c>
      <c r="I32" s="34" t="n">
        <v>1652</v>
      </c>
      <c r="J32" s="35" t="n">
        <v>1633</v>
      </c>
      <c r="K32" s="35" t="n">
        <v>1763</v>
      </c>
      <c r="L32" s="35" t="n">
        <v>1853</v>
      </c>
      <c r="M32" s="36">
        <f>SUM(I32:L32)</f>
        <v/>
      </c>
      <c r="N32" s="34" t="n">
        <v>1957</v>
      </c>
      <c r="R32" s="8" t="n"/>
      <c r="S32" s="7" t="n"/>
      <c r="W32" s="8" t="n"/>
      <c r="X32" s="7" t="n"/>
    </row>
    <row r="33">
      <c r="B33" s="3" t="inlineStr">
        <is>
          <t>Consensus Revenue</t>
        </is>
      </c>
      <c r="D33" s="34" t="n">
        <v>1431.641508</v>
      </c>
      <c r="E33" s="35" t="n">
        <v>1400.613278</v>
      </c>
      <c r="F33" s="35" t="n">
        <v>1482.346113</v>
      </c>
      <c r="G33" s="35" t="n">
        <v>1562.099415</v>
      </c>
      <c r="H33" s="36">
        <f>SUM(D33:G33)</f>
        <v/>
      </c>
      <c r="I33" s="34" t="n">
        <v>1631.938634</v>
      </c>
      <c r="J33" s="35" t="n">
        <v>1606.667074</v>
      </c>
      <c r="K33" s="35" t="n">
        <v>1724.738445</v>
      </c>
      <c r="L33" s="35" t="n">
        <v>1807.16034</v>
      </c>
      <c r="M33" s="36">
        <f>SUM(I33:L33)</f>
        <v/>
      </c>
      <c r="N33" s="34" t="n">
        <v>1914.051</v>
      </c>
      <c r="R33" s="8" t="n"/>
      <c r="S33" s="7" t="n"/>
      <c r="W33" s="8" t="n"/>
      <c r="X33" s="7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29">
        <f>N32-N33</f>
        <v/>
      </c>
      <c r="R34" s="8" t="n"/>
      <c r="S34" s="7" t="n"/>
      <c r="W34" s="8" t="n"/>
      <c r="X34" s="7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39">
        <f>IFERROR((N32-N33)/N33,"-")</f>
        <v/>
      </c>
      <c r="R35" s="8" t="n"/>
      <c r="S35" s="7" t="n"/>
      <c r="W35" s="8" t="n"/>
      <c r="X35" s="7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  <c r="X36" s="7" t="n"/>
    </row>
    <row r="37">
      <c r="B37" s="2" t="inlineStr">
        <is>
          <t xml:space="preserve">   Trailing 4Q Avg Beat</t>
        </is>
      </c>
      <c r="C37" s="41">
        <f>AVERAGE(J35,K35,L35,N35)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  <c r="X37" s="7" t="n"/>
    </row>
    <row r="38">
      <c r="B38" s="2" t="inlineStr">
        <is>
          <t xml:space="preserve">   Trailing 8Q Avg Beat</t>
        </is>
      </c>
      <c r="C38" s="41">
        <f>AVERAGE(E35,F35,G35,I35,J35,K35,L35,N35)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  <c r="X38" s="7" t="n"/>
    </row>
    <row r="39">
      <c r="B39" s="2" t="inlineStr">
        <is>
          <t xml:space="preserve">   Selected Beat Cadence</t>
        </is>
      </c>
      <c r="C39" s="42" t="n">
        <v>0.0204</v>
      </c>
      <c r="D39" s="7" t="n"/>
      <c r="H39" s="8" t="n"/>
      <c r="I39" s="7" t="n"/>
      <c r="M39" s="8" t="n"/>
      <c r="N39" s="7" t="n"/>
      <c r="R39" s="8" t="n"/>
      <c r="S39" s="7" t="n"/>
      <c r="W39" s="8" t="n"/>
      <c r="X39" s="7" t="n"/>
    </row>
  </sheetData>
  <conditionalFormatting sqref="D21:X21">
    <cfRule type="expression" priority="1" dxfId="0">
      <formula>D21&gt;0</formula>
    </cfRule>
    <cfRule type="expression" priority="2" dxfId="1">
      <formula>D21&lt;0</formula>
    </cfRule>
  </conditionalFormatting>
  <conditionalFormatting sqref="D29:X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APP: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0.0445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1058.115</v>
      </c>
      <c r="E9" s="35" t="n">
        <v>711.015</v>
      </c>
      <c r="F9" s="35" t="n">
        <v>835.186</v>
      </c>
      <c r="G9" s="35" t="n">
        <v>2104.932</v>
      </c>
      <c r="H9" s="36">
        <f>SUM(D9:G9)</f>
        <v/>
      </c>
      <c r="I9" s="34" t="n">
        <v>1484.021</v>
      </c>
      <c r="J9" s="35" t="n">
        <v>1258.754</v>
      </c>
      <c r="K9" s="35" t="n">
        <v>1405.045</v>
      </c>
      <c r="L9" s="35" t="n">
        <v>1332.897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941.005809</v>
      </c>
      <c r="O13" s="37" t="n">
        <v>-687.921714</v>
      </c>
      <c r="P13" s="37" t="n">
        <v>124.423559</v>
      </c>
      <c r="Q13" s="37" t="n">
        <v>138.390601</v>
      </c>
      <c r="R13" s="8" t="n"/>
      <c r="S13" s="38" t="n">
        <v>192.975958</v>
      </c>
      <c r="T13" s="37" t="n">
        <v>44.80956</v>
      </c>
      <c r="U13" s="37" t="n">
        <v>124.716873</v>
      </c>
      <c r="V13" s="37" t="n">
        <v>156.959138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2177.025188</v>
      </c>
      <c r="O15" s="35" t="n">
        <v>1846.563602</v>
      </c>
      <c r="P15" s="35" t="n">
        <v>2046.921367</v>
      </c>
      <c r="Q15" s="35" t="n">
        <v>2328.315873</v>
      </c>
      <c r="R15" s="36">
        <f>SUM(N15:Q15)</f>
        <v/>
      </c>
      <c r="S15" s="34" t="n">
        <v>2340.802751</v>
      </c>
      <c r="T15" s="35" t="n">
        <v>2470.243479</v>
      </c>
      <c r="U15" s="35" t="n">
        <v>2657.96074</v>
      </c>
      <c r="V15" s="35" t="n">
        <v>3020.379077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1058.115</v>
      </c>
      <c r="E32" s="35" t="n">
        <v>711.015</v>
      </c>
      <c r="F32" s="35" t="n">
        <v>835.186</v>
      </c>
      <c r="G32" s="35" t="n">
        <v>2104.932</v>
      </c>
      <c r="H32" s="36">
        <f>SUM(D32:G32)</f>
        <v/>
      </c>
      <c r="I32" s="34" t="n">
        <v>1484.021</v>
      </c>
      <c r="J32" s="35" t="n">
        <v>1258.754</v>
      </c>
      <c r="K32" s="35" t="n">
        <v>1405.045</v>
      </c>
      <c r="L32" s="35" t="n">
        <v>1332.897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973.696275</v>
      </c>
      <c r="E33" s="35" t="n">
        <v>1080.711209</v>
      </c>
      <c r="F33" s="35" t="n">
        <v>1131.432734</v>
      </c>
      <c r="G33" s="35" t="n">
        <v>1261.501671</v>
      </c>
      <c r="H33" s="36">
        <f>SUM(D33:G33)</f>
        <v/>
      </c>
      <c r="I33" s="34" t="n">
        <v>1381.048854</v>
      </c>
      <c r="J33" s="35" t="n">
        <v>1224.369137</v>
      </c>
      <c r="K33" s="35" t="n">
        <v>1342.172202</v>
      </c>
      <c r="L33" s="35" t="n">
        <v>1612.094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3">
        <f>IFERROR((E32-E33)/E33,"-")</f>
        <v/>
      </c>
      <c r="F35" s="43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3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>
        <f>AVERAGE(I35,J35,K35,L35)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>
        <f>AVERAGE(D35,E35,F35,G35,I35,J35,K35,L35)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0.0445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FTNT: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0.0101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ACCELERATING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1353.3</v>
      </c>
      <c r="E9" s="35" t="n">
        <v>1434.3</v>
      </c>
      <c r="F9" s="35" t="n">
        <v>1508.1</v>
      </c>
      <c r="G9" s="35" t="n">
        <v>1660.1</v>
      </c>
      <c r="H9" s="36">
        <f>SUM(D9:G9)</f>
        <v/>
      </c>
      <c r="I9" s="34" t="n">
        <v>1539.7</v>
      </c>
      <c r="J9" s="35" t="n">
        <v>1630</v>
      </c>
      <c r="K9" s="35" t="n">
        <v>1724.9</v>
      </c>
      <c r="L9" s="35" t="n">
        <v>1905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-167.340307</v>
      </c>
      <c r="O13" s="37" t="n">
        <v>108.223432</v>
      </c>
      <c r="P13" s="37" t="n">
        <v>89.01703000000001</v>
      </c>
      <c r="Q13" s="37" t="n">
        <v>142.622753</v>
      </c>
      <c r="R13" s="8" t="n"/>
      <c r="S13" s="38" t="n">
        <v>-14.005059</v>
      </c>
      <c r="T13" s="37" t="n">
        <v>46.31403</v>
      </c>
      <c r="U13" s="37" t="n">
        <v>70.03191</v>
      </c>
      <c r="V13" s="37" t="n">
        <v>108.558522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1720.284816</v>
      </c>
      <c r="O15" s="35" t="n">
        <v>1821.175716</v>
      </c>
      <c r="P15" s="35" t="n">
        <v>1926.004667</v>
      </c>
      <c r="Q15" s="35" t="n">
        <v>2116.338188</v>
      </c>
      <c r="R15" s="36">
        <f>SUM(N15:Q15)</f>
        <v/>
      </c>
      <c r="S15" s="34" t="n">
        <v>1928.115835</v>
      </c>
      <c r="T15" s="35" t="n">
        <v>2022.723205</v>
      </c>
      <c r="U15" s="35" t="n">
        <v>2125.421834</v>
      </c>
      <c r="V15" s="35" t="n">
        <v>2326.357435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1353.3</v>
      </c>
      <c r="E32" s="35" t="n">
        <v>1434.3</v>
      </c>
      <c r="F32" s="35" t="n">
        <v>1508.1</v>
      </c>
      <c r="G32" s="35" t="n">
        <v>1660.1</v>
      </c>
      <c r="H32" s="36">
        <f>SUM(D32:G32)</f>
        <v/>
      </c>
      <c r="I32" s="34" t="n">
        <v>1539.7</v>
      </c>
      <c r="J32" s="35" t="n">
        <v>1630</v>
      </c>
      <c r="K32" s="35" t="n">
        <v>1724.9</v>
      </c>
      <c r="L32" s="35" t="n">
        <v>1905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1338.062943</v>
      </c>
      <c r="E33" s="35" t="n">
        <v>1404.891079</v>
      </c>
      <c r="F33" s="35" t="n">
        <v>1479.698979</v>
      </c>
      <c r="G33" s="35" t="n">
        <v>1592.62579</v>
      </c>
      <c r="H33" s="36">
        <f>SUM(D33:G33)</f>
        <v/>
      </c>
      <c r="I33" s="34" t="n">
        <v>1538.489501</v>
      </c>
      <c r="J33" s="35" t="n">
        <v>1625.077101</v>
      </c>
      <c r="K33" s="35" t="n">
        <v>1704.258106</v>
      </c>
      <c r="L33" s="35" t="n">
        <v>1859.668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>
        <f>AVERAGE(I35,J35,K35,L35)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>
        <f>AVERAGE(D35,E35,F35,G35,I35,J35,K35,L35)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0.0101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TEAM: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0.0159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ACCELERATING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1189.128</v>
      </c>
      <c r="E9" s="35" t="n">
        <v>1131.59</v>
      </c>
      <c r="F9" s="35" t="n">
        <v>1187.781</v>
      </c>
      <c r="G9" s="35" t="n">
        <v>1286.463</v>
      </c>
      <c r="H9" s="36">
        <f>SUM(D9:G9)</f>
        <v/>
      </c>
      <c r="I9" s="34" t="n">
        <v>1356.716</v>
      </c>
      <c r="J9" s="35" t="n">
        <v>1384.344</v>
      </c>
      <c r="K9" s="35" t="n">
        <v>1432.553</v>
      </c>
      <c r="L9" s="35" t="n">
        <v>1586.315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136.492916</v>
      </c>
      <c r="O13" s="37" t="n">
        <v>-77.867103</v>
      </c>
      <c r="P13" s="37" t="n">
        <v>55.373886</v>
      </c>
      <c r="Q13" s="37" t="n">
        <v>119.820159</v>
      </c>
      <c r="R13" s="8" t="n"/>
      <c r="S13" s="38" t="n">
        <v>68.54594899999999</v>
      </c>
      <c r="T13" s="37" t="n">
        <v>55.92806</v>
      </c>
      <c r="U13" s="37" t="n">
        <v>62.911746</v>
      </c>
      <c r="V13" s="37" t="n">
        <v>99.32337699999999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1695.843996</v>
      </c>
      <c r="O15" s="35" t="n">
        <v>1658.987794</v>
      </c>
      <c r="P15" s="35" t="n">
        <v>1705.05464</v>
      </c>
      <c r="Q15" s="35" t="n">
        <v>1854.014213</v>
      </c>
      <c r="R15" s="36">
        <f>SUM(N15:Q15)</f>
        <v/>
      </c>
      <c r="S15" s="34" t="n">
        <v>1958.177455</v>
      </c>
      <c r="T15" s="35" t="n">
        <v>1955.189036</v>
      </c>
      <c r="U15" s="35" t="n">
        <v>2007.188162</v>
      </c>
      <c r="V15" s="35" t="n">
        <v>2167.28605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1189.128</v>
      </c>
      <c r="E32" s="35" t="n">
        <v>1131.59</v>
      </c>
      <c r="F32" s="35" t="n">
        <v>1187.781</v>
      </c>
      <c r="G32" s="35" t="n">
        <v>1286.463</v>
      </c>
      <c r="H32" s="36">
        <f>SUM(D32:G32)</f>
        <v/>
      </c>
      <c r="I32" s="34" t="n">
        <v>1356.716</v>
      </c>
      <c r="J32" s="35" t="n">
        <v>1384.344</v>
      </c>
      <c r="K32" s="35" t="n">
        <v>1432.553</v>
      </c>
      <c r="L32" s="35" t="n">
        <v>1586.315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1097.713721</v>
      </c>
      <c r="E33" s="35" t="n">
        <v>1130.319581</v>
      </c>
      <c r="F33" s="35" t="n">
        <v>1155.366921</v>
      </c>
      <c r="G33" s="35" t="n">
        <v>1239.792702</v>
      </c>
      <c r="H33" s="36">
        <f>SUM(D33:G33)</f>
        <v/>
      </c>
      <c r="I33" s="34" t="n">
        <v>1353.198326</v>
      </c>
      <c r="J33" s="35" t="n">
        <v>1356.182498</v>
      </c>
      <c r="K33" s="35" t="n">
        <v>1402.189509</v>
      </c>
      <c r="L33" s="35" t="n">
        <v>1557.23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>
        <f>AVERAGE(I35,J35,K35,L35)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>
        <f>AVERAGE(D35,E35,F35,G35,I35,J35,K35,L35)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0.0159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1:X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  <col width="10.5" customWidth="1" min="24" max="24"/>
  </cols>
  <sheetData>
    <row r="1">
      <c r="B1" s="1" t="inlineStr">
        <is>
          <t>VEEV: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0.0281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  <c r="X7" s="4" t="inlineStr">
        <is>
          <t>Q1-28E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  <c r="X8" s="7" t="n"/>
    </row>
    <row r="9">
      <c r="B9" s="3" t="inlineStr">
        <is>
          <t>Total Revenue</t>
        </is>
      </c>
      <c r="D9" s="34" t="n">
        <v>630.6180000000001</v>
      </c>
      <c r="E9" s="35" t="n">
        <v>650.345</v>
      </c>
      <c r="F9" s="35" t="n">
        <v>676.181</v>
      </c>
      <c r="G9" s="35" t="n">
        <v>699.207</v>
      </c>
      <c r="H9" s="36">
        <f>SUM(D9:G9)</f>
        <v/>
      </c>
      <c r="I9" s="34" t="n">
        <v>720.886</v>
      </c>
      <c r="J9" s="35" t="n">
        <v>759.043</v>
      </c>
      <c r="K9" s="35" t="n">
        <v>789.081</v>
      </c>
      <c r="L9" s="35" t="n">
        <v>811.236</v>
      </c>
      <c r="M9" s="36">
        <f>SUM(I9:L9)</f>
        <v/>
      </c>
      <c r="N9" s="34" t="n">
        <v>835.951</v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  <c r="X9" s="34">
        <f>V9+X13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  <c r="X10" s="22">
        <f>IFERROR((X9-S9)/S9,"-")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  <c r="X11" s="22">
        <f>IFERROR((X9-V9)/V9,"-")</f>
        <v/>
      </c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  <c r="X12" s="29">
        <f>X9-S9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29">
        <f>N9-L9</f>
        <v/>
      </c>
      <c r="O13" s="37" t="n">
        <v>42.91054</v>
      </c>
      <c r="P13" s="37" t="n">
        <v>21.950836</v>
      </c>
      <c r="Q13" s="37" t="n">
        <v>25.685754</v>
      </c>
      <c r="R13" s="8" t="n"/>
      <c r="S13" s="38" t="n">
        <v>26.672979</v>
      </c>
      <c r="T13" s="37" t="n">
        <v>31.475128</v>
      </c>
      <c r="U13" s="37" t="n">
        <v>32.383565</v>
      </c>
      <c r="V13" s="37" t="n">
        <v>30.063773</v>
      </c>
      <c r="W13" s="8" t="n"/>
      <c r="X13" s="38" t="n">
        <v>30.168293</v>
      </c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  <c r="X14" s="7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7" t="n"/>
      <c r="O15" s="35" t="n">
        <v>854.840521</v>
      </c>
      <c r="P15" s="35" t="n">
        <v>888.669565</v>
      </c>
      <c r="Q15" s="35" t="n">
        <v>913.219863</v>
      </c>
      <c r="R15" s="8" t="n"/>
      <c r="S15" s="34" t="n">
        <v>940.569736</v>
      </c>
      <c r="T15" s="35" t="n">
        <v>965.082821</v>
      </c>
      <c r="U15" s="35" t="n">
        <v>998.618027</v>
      </c>
      <c r="V15" s="35" t="n">
        <v>1023.589942</v>
      </c>
      <c r="W15" s="36">
        <f>SUM(S15:V15)</f>
        <v/>
      </c>
      <c r="X15" s="34" t="n">
        <v>1053.326884</v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7" t="n"/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8" t="n"/>
      <c r="X16" s="22">
        <f>IFERROR((X15-S15)/S15,"-")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  <c r="X17" s="22">
        <f>IFERROR((X15-V15)/V15,"-")</f>
        <v/>
      </c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7" t="n"/>
      <c r="T18" s="30">
        <f>T15-O15</f>
        <v/>
      </c>
      <c r="U18" s="30">
        <f>U15-P15</f>
        <v/>
      </c>
      <c r="V18" s="30">
        <f>V15-Q15</f>
        <v/>
      </c>
      <c r="W18" s="8" t="n"/>
      <c r="X18" s="29">
        <f>X15-S15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  <c r="X19" s="29">
        <f>X15-V15</f>
        <v/>
      </c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  <c r="X20" s="7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7" t="n"/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  <c r="X21" s="22">
        <f>IFERROR((X9-X15)/X15,"-")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  <c r="X22" s="7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P23" s="35">
        <f>P9/(1+$C$3)</f>
        <v/>
      </c>
      <c r="R23" s="8" t="n"/>
      <c r="S23" s="7" t="n"/>
      <c r="W23" s="8" t="n"/>
      <c r="X23" s="7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P24" s="14">
        <f>IFERROR((P23-K9)/K9,"-")</f>
        <v/>
      </c>
      <c r="R24" s="8" t="n"/>
      <c r="S24" s="7" t="n"/>
      <c r="W24" s="8" t="n"/>
      <c r="X24" s="7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P25" s="14">
        <f>IFERROR((P23-O9)/O9,"-")</f>
        <v/>
      </c>
      <c r="R25" s="8" t="n"/>
      <c r="S25" s="7" t="n"/>
      <c r="W25" s="8" t="n"/>
      <c r="X25" s="7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P26" s="30">
        <f>P23-K9</f>
        <v/>
      </c>
      <c r="R26" s="8" t="n"/>
      <c r="S26" s="7" t="n"/>
      <c r="W26" s="8" t="n"/>
      <c r="X26" s="7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P27" s="30">
        <f>P23-O9</f>
        <v/>
      </c>
      <c r="R27" s="8" t="n"/>
      <c r="S27" s="7" t="n"/>
      <c r="W27" s="8" t="n"/>
      <c r="X27" s="7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  <c r="X28" s="7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P29" s="14">
        <f>IFERROR((P23-P15)/P15,"-")</f>
        <v/>
      </c>
      <c r="R29" s="8" t="n"/>
      <c r="S29" s="7" t="n"/>
      <c r="W29" s="8" t="n"/>
      <c r="X29" s="7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  <c r="X30" s="7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  <c r="X31" s="7" t="n"/>
    </row>
    <row r="32">
      <c r="B32" s="3" t="inlineStr">
        <is>
          <t>Actual Revenue</t>
        </is>
      </c>
      <c r="D32" s="34" t="n">
        <v>630.6180000000001</v>
      </c>
      <c r="E32" s="35" t="n">
        <v>650.345</v>
      </c>
      <c r="F32" s="35" t="n">
        <v>676.181</v>
      </c>
      <c r="G32" s="35" t="n">
        <v>699.207</v>
      </c>
      <c r="H32" s="36">
        <f>SUM(D32:G32)</f>
        <v/>
      </c>
      <c r="I32" s="34" t="n">
        <v>720.886</v>
      </c>
      <c r="J32" s="35" t="n">
        <v>759.043</v>
      </c>
      <c r="K32" s="35" t="n">
        <v>789.081</v>
      </c>
      <c r="L32" s="35" t="n">
        <v>811.236</v>
      </c>
      <c r="M32" s="36">
        <f>SUM(I32:L32)</f>
        <v/>
      </c>
      <c r="N32" s="34" t="n">
        <v>835.951</v>
      </c>
      <c r="R32" s="8" t="n"/>
      <c r="S32" s="7" t="n"/>
      <c r="W32" s="8" t="n"/>
      <c r="X32" s="7" t="n"/>
    </row>
    <row r="33">
      <c r="B33" s="3" t="inlineStr">
        <is>
          <t>Consensus Revenue</t>
        </is>
      </c>
      <c r="D33" s="34" t="n">
        <v>621.108239</v>
      </c>
      <c r="E33" s="35" t="n">
        <v>642.050335</v>
      </c>
      <c r="F33" s="35" t="n">
        <v>667.830118</v>
      </c>
      <c r="G33" s="35" t="n">
        <v>684.37557</v>
      </c>
      <c r="H33" s="36">
        <f>SUM(D33:G33)</f>
        <v/>
      </c>
      <c r="I33" s="34" t="n">
        <v>699.233897</v>
      </c>
      <c r="K33" s="35" t="n">
        <v>768.445107</v>
      </c>
      <c r="L33" s="35" t="n">
        <v>792.791522</v>
      </c>
      <c r="M33" s="8" t="n"/>
      <c r="N33" s="34" t="n">
        <v>810.6717</v>
      </c>
      <c r="R33" s="8" t="n"/>
      <c r="S33" s="7" t="n"/>
      <c r="W33" s="8" t="n"/>
      <c r="X33" s="7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K34" s="30">
        <f>K32-K33</f>
        <v/>
      </c>
      <c r="L34" s="30">
        <f>L32-L33</f>
        <v/>
      </c>
      <c r="M34" s="8" t="n"/>
      <c r="N34" s="29">
        <f>N32-N33</f>
        <v/>
      </c>
      <c r="R34" s="8" t="n"/>
      <c r="S34" s="7" t="n"/>
      <c r="W34" s="8" t="n"/>
      <c r="X34" s="7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K35" s="40">
        <f>IFERROR((K32-K33)/K33,"-")</f>
        <v/>
      </c>
      <c r="L35" s="40">
        <f>IFERROR((L32-L33)/L33,"-")</f>
        <v/>
      </c>
      <c r="M35" s="8" t="n"/>
      <c r="N35" s="39">
        <f>IFERROR((N32-N33)/N33,"-")</f>
        <v/>
      </c>
      <c r="R35" s="8" t="n"/>
      <c r="S35" s="7" t="n"/>
      <c r="W35" s="8" t="n"/>
      <c r="X35" s="7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  <c r="X36" s="7" t="n"/>
    </row>
    <row r="37">
      <c r="B37" s="2" t="inlineStr">
        <is>
          <t xml:space="preserve">   Trailing 4Q Avg Beat</t>
        </is>
      </c>
      <c r="C37" s="41">
        <f>AVERAGE(I35,K35,L35,N35)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  <c r="X37" s="7" t="n"/>
    </row>
    <row r="38">
      <c r="B38" s="2" t="inlineStr">
        <is>
          <t xml:space="preserve">   Trailing 8Q Avg Beat</t>
        </is>
      </c>
      <c r="C38" s="41">
        <f>AVERAGE(D35,E35,F35,G35,I35,K35,L35,N35)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  <c r="X38" s="7" t="n"/>
    </row>
    <row r="39">
      <c r="B39" s="2" t="inlineStr">
        <is>
          <t xml:space="preserve">   Selected Beat Cadence</t>
        </is>
      </c>
      <c r="C39" s="42" t="n">
        <v>0.0281</v>
      </c>
      <c r="D39" s="7" t="n"/>
      <c r="H39" s="8" t="n"/>
      <c r="I39" s="7" t="n"/>
      <c r="M39" s="8" t="n"/>
      <c r="N39" s="7" t="n"/>
      <c r="R39" s="8" t="n"/>
      <c r="S39" s="7" t="n"/>
      <c r="W39" s="8" t="n"/>
      <c r="X39" s="7" t="n"/>
    </row>
  </sheetData>
  <conditionalFormatting sqref="D21:X21">
    <cfRule type="expression" priority="1" dxfId="0">
      <formula>D21&gt;0</formula>
    </cfRule>
    <cfRule type="expression" priority="2" dxfId="1">
      <formula>D21&lt;0</formula>
    </cfRule>
  </conditionalFormatting>
  <conditionalFormatting sqref="D29:X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ROP: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-0.0012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1680.7</v>
      </c>
      <c r="E9" s="35" t="n">
        <v>1716.8</v>
      </c>
      <c r="F9" s="35" t="n">
        <v>1764.6</v>
      </c>
      <c r="G9" s="35" t="n">
        <v>1877.1</v>
      </c>
      <c r="H9" s="36">
        <f>SUM(D9:G9)</f>
        <v/>
      </c>
      <c r="I9" s="34" t="n">
        <v>1882.8</v>
      </c>
      <c r="J9" s="35" t="n">
        <v>1943.6</v>
      </c>
      <c r="K9" s="35" t="n">
        <v>2017.5</v>
      </c>
      <c r="L9" s="35" t="n">
        <v>2058.6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-32.349594</v>
      </c>
      <c r="O13" s="37" t="n">
        <v>165.759084</v>
      </c>
      <c r="P13" s="37" t="n">
        <v>63.521301</v>
      </c>
      <c r="Q13" s="37" t="n">
        <v>53.319174</v>
      </c>
      <c r="R13" s="8" t="n"/>
      <c r="S13" s="38" t="n">
        <v>69.09600399999999</v>
      </c>
      <c r="T13" s="37" t="n">
        <v>65.109827</v>
      </c>
      <c r="U13" s="37" t="n">
        <v>66.972075</v>
      </c>
      <c r="V13" s="37" t="n">
        <v>62.534349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2028.684828</v>
      </c>
      <c r="O15" s="35" t="n">
        <v>2094.195789</v>
      </c>
      <c r="P15" s="35" t="n">
        <v>2161.565444</v>
      </c>
      <c r="Q15" s="35" t="n">
        <v>2193.211688</v>
      </c>
      <c r="R15" s="36">
        <f>SUM(N15:Q15)</f>
        <v/>
      </c>
      <c r="S15" s="34" t="n">
        <v>2200.832612</v>
      </c>
      <c r="T15" s="35" t="n">
        <v>2241.629925</v>
      </c>
      <c r="U15" s="35" t="n">
        <v>2294.4581</v>
      </c>
      <c r="V15" s="35" t="n">
        <v>2328.4897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1680.7</v>
      </c>
      <c r="E32" s="35" t="n">
        <v>1716.8</v>
      </c>
      <c r="F32" s="35" t="n">
        <v>1764.6</v>
      </c>
      <c r="G32" s="35" t="n">
        <v>1877.1</v>
      </c>
      <c r="H32" s="36">
        <f>SUM(D32:G32)</f>
        <v/>
      </c>
      <c r="I32" s="34" t="n">
        <v>1882.8</v>
      </c>
      <c r="J32" s="35" t="n">
        <v>1943.6</v>
      </c>
      <c r="K32" s="35" t="n">
        <v>2017.5</v>
      </c>
      <c r="L32" s="35" t="n">
        <v>2058.6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1657.83535</v>
      </c>
      <c r="E33" s="35" t="n">
        <v>1732.1335</v>
      </c>
      <c r="F33" s="35" t="n">
        <v>1723.710782</v>
      </c>
      <c r="G33" s="35" t="n">
        <v>1837.026458</v>
      </c>
      <c r="H33" s="36">
        <f>SUM(D33:G33)</f>
        <v/>
      </c>
      <c r="I33" s="34" t="n">
        <v>1881.732231</v>
      </c>
      <c r="J33" s="35" t="n">
        <v>1927.820929</v>
      </c>
      <c r="K33" s="35" t="n">
        <v>2023.85964</v>
      </c>
      <c r="L33" s="35" t="n">
        <v>2080.616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3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3">
        <f>IFERROR((K32-K33)/K33,"-")</f>
        <v/>
      </c>
      <c r="L35" s="43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>
        <f>AVERAGE(I35,J35,K35,L35)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>
        <f>AVERAGE(D35,E35,F35,G35,I35,J35,K35,L35)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-0.0012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PLTR: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0.0566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ACCELERATING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634.338</v>
      </c>
      <c r="E9" s="35" t="n">
        <v>678.134</v>
      </c>
      <c r="F9" s="35" t="n">
        <v>725.516</v>
      </c>
      <c r="G9" s="35" t="n">
        <v>827.519</v>
      </c>
      <c r="H9" s="36">
        <f>SUM(D9:G9)</f>
        <v/>
      </c>
      <c r="I9" s="34" t="n">
        <v>883.855</v>
      </c>
      <c r="J9" s="35" t="n">
        <v>1003.697</v>
      </c>
      <c r="K9" s="35" t="n">
        <v>1181.092</v>
      </c>
      <c r="L9" s="35" t="n">
        <v>1406.802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94.53055000000001</v>
      </c>
      <c r="O13" s="37" t="n">
        <v>-163.559612</v>
      </c>
      <c r="P13" s="37" t="n">
        <v>175.270227</v>
      </c>
      <c r="Q13" s="37" t="n">
        <v>218.289996</v>
      </c>
      <c r="R13" s="8" t="n"/>
      <c r="S13" s="38" t="n">
        <v>16.871453</v>
      </c>
      <c r="T13" s="37" t="n">
        <v>97.777902</v>
      </c>
      <c r="U13" s="37" t="n">
        <v>159.307236</v>
      </c>
      <c r="V13" s="37" t="n">
        <v>211.72565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1420.909095</v>
      </c>
      <c r="O15" s="35" t="n">
        <v>1613.570321</v>
      </c>
      <c r="P15" s="35" t="n">
        <v>1883.74194</v>
      </c>
      <c r="Q15" s="35" t="n">
        <v>2163.134238</v>
      </c>
      <c r="R15" s="36">
        <f>SUM(N15:Q15)</f>
        <v/>
      </c>
      <c r="S15" s="34" t="n">
        <v>2241.713928</v>
      </c>
      <c r="T15" s="35" t="n">
        <v>2422.116121</v>
      </c>
      <c r="U15" s="35" t="n">
        <v>2665.425689</v>
      </c>
      <c r="V15" s="35" t="n">
        <v>3021.735062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634.338</v>
      </c>
      <c r="E32" s="35" t="n">
        <v>678.134</v>
      </c>
      <c r="F32" s="35" t="n">
        <v>725.516</v>
      </c>
      <c r="G32" s="35" t="n">
        <v>827.519</v>
      </c>
      <c r="H32" s="36">
        <f>SUM(D32:G32)</f>
        <v/>
      </c>
      <c r="I32" s="34" t="n">
        <v>883.855</v>
      </c>
      <c r="J32" s="35" t="n">
        <v>1003.697</v>
      </c>
      <c r="K32" s="35" t="n">
        <v>1181.092</v>
      </c>
      <c r="L32" s="35" t="n">
        <v>1406.802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615.396074</v>
      </c>
      <c r="E33" s="35" t="n">
        <v>653.22905</v>
      </c>
      <c r="F33" s="35" t="n">
        <v>705.111871</v>
      </c>
      <c r="G33" s="35" t="n">
        <v>869.27338</v>
      </c>
      <c r="H33" s="36">
        <f>SUM(D33:G33)</f>
        <v/>
      </c>
      <c r="I33" s="34" t="n">
        <v>862.173813</v>
      </c>
      <c r="J33" s="35" t="n">
        <v>937.698232</v>
      </c>
      <c r="K33" s="35" t="n">
        <v>1091.837803</v>
      </c>
      <c r="L33" s="35" t="n">
        <v>1341.029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3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>
        <f>AVERAGE(I35,J35,K35,L35)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>
        <f>AVERAGE(D35,E35,F35,G35,I35,J35,K35,L35)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0.0566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HUBS: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0.0238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617.414</v>
      </c>
      <c r="E9" s="35" t="n">
        <v>637.23</v>
      </c>
      <c r="F9" s="35" t="n">
        <v>669.721</v>
      </c>
      <c r="G9" s="35" t="n">
        <v>703.178</v>
      </c>
      <c r="H9" s="36">
        <f>SUM(D9:G9)</f>
        <v/>
      </c>
      <c r="I9" s="34" t="n">
        <v>714.1369999999999</v>
      </c>
      <c r="J9" s="35" t="n">
        <v>760.866</v>
      </c>
      <c r="K9" s="35" t="n">
        <v>809.518</v>
      </c>
      <c r="L9" s="35" t="n">
        <v>846.723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16.992067</v>
      </c>
      <c r="O13" s="37" t="n">
        <v>47.963565</v>
      </c>
      <c r="P13" s="37" t="n">
        <v>38.710611</v>
      </c>
      <c r="Q13" s="37" t="n">
        <v>39.252448</v>
      </c>
      <c r="R13" s="8" t="n"/>
      <c r="S13" s="38" t="n">
        <v>40.741725</v>
      </c>
      <c r="T13" s="37" t="n">
        <v>35.404608</v>
      </c>
      <c r="U13" s="37" t="n">
        <v>40.147243</v>
      </c>
      <c r="V13" s="37" t="n">
        <v>42.173743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843.636518</v>
      </c>
      <c r="O15" s="35" t="n">
        <v>898.839218</v>
      </c>
      <c r="P15" s="35" t="n">
        <v>947.5682420000001</v>
      </c>
      <c r="Q15" s="35" t="n">
        <v>989.105592</v>
      </c>
      <c r="R15" s="36">
        <f>SUM(N15:Q15)</f>
        <v/>
      </c>
      <c r="S15" s="34" t="n">
        <v>1004.636116</v>
      </c>
      <c r="T15" s="35" t="n">
        <v>1046.777317</v>
      </c>
      <c r="U15" s="35" t="n">
        <v>1094.435805</v>
      </c>
      <c r="V15" s="35" t="n">
        <v>1141.841563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617.414</v>
      </c>
      <c r="E32" s="35" t="n">
        <v>637.23</v>
      </c>
      <c r="F32" s="35" t="n">
        <v>669.721</v>
      </c>
      <c r="G32" s="35" t="n">
        <v>703.178</v>
      </c>
      <c r="H32" s="36">
        <f>SUM(D32:G32)</f>
        <v/>
      </c>
      <c r="I32" s="34" t="n">
        <v>714.1369999999999</v>
      </c>
      <c r="J32" s="35" t="n">
        <v>760.866</v>
      </c>
      <c r="K32" s="35" t="n">
        <v>809.518</v>
      </c>
      <c r="L32" s="35" t="n">
        <v>846.723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597.981955</v>
      </c>
      <c r="E33" s="35" t="n">
        <v>619.279957</v>
      </c>
      <c r="F33" s="35" t="n">
        <v>646.97138</v>
      </c>
      <c r="G33" s="35" t="n">
        <v>673.290123</v>
      </c>
      <c r="H33" s="36">
        <f>SUM(D33:G33)</f>
        <v/>
      </c>
      <c r="I33" s="34" t="n">
        <v>700.940304</v>
      </c>
      <c r="J33" s="35" t="n">
        <v>739.859772</v>
      </c>
      <c r="K33" s="35" t="n">
        <v>786.5957560000001</v>
      </c>
      <c r="L33" s="35" t="n">
        <v>830.9059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>
        <f>AVERAGE(I35,J35,K35,L35)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>
        <f>AVERAGE(D35,E35,F35,G35,I35,J35,K35,L35)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0.0238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1:X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  <col width="10.5" customWidth="1" min="24" max="24"/>
  </cols>
  <sheetData>
    <row r="1">
      <c r="B1" s="1" t="inlineStr">
        <is>
          <t>ZS: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0.019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  <c r="X7" s="4" t="inlineStr">
        <is>
          <t>Q1-28E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  <c r="X8" s="7" t="n"/>
    </row>
    <row r="9">
      <c r="B9" s="3" t="inlineStr">
        <is>
          <t>Total Revenue</t>
        </is>
      </c>
      <c r="D9" s="34" t="n">
        <v>524.999</v>
      </c>
      <c r="E9" s="35" t="n">
        <v>553.201</v>
      </c>
      <c r="F9" s="35" t="n">
        <v>592.8680000000001</v>
      </c>
      <c r="G9" s="35" t="n">
        <v>627.955</v>
      </c>
      <c r="H9" s="36">
        <f>SUM(D9:G9)</f>
        <v/>
      </c>
      <c r="I9" s="34" t="n">
        <v>647.9</v>
      </c>
      <c r="J9" s="35" t="n">
        <v>678.034</v>
      </c>
      <c r="K9" s="35" t="n">
        <v>719.226</v>
      </c>
      <c r="L9" s="35" t="n">
        <v>788.112</v>
      </c>
      <c r="M9" s="36">
        <f>SUM(I9:L9)</f>
        <v/>
      </c>
      <c r="N9" s="34" t="n">
        <v>815.751</v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  <c r="X9" s="34">
        <f>V9+X13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  <c r="X10" s="22">
        <f>IFERROR((X9-S9)/S9,"-")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  <c r="X11" s="22">
        <f>IFERROR((X9-V9)/V9,"-")</f>
        <v/>
      </c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  <c r="X12" s="29">
        <f>X9-S9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29">
        <f>N9-L9</f>
        <v/>
      </c>
      <c r="O13" s="37" t="n">
        <v>71.888229</v>
      </c>
      <c r="P13" s="37" t="n">
        <v>13.469066</v>
      </c>
      <c r="Q13" s="37" t="n">
        <v>44.703222</v>
      </c>
      <c r="R13" s="8" t="n"/>
      <c r="S13" s="38" t="n">
        <v>36.698267</v>
      </c>
      <c r="T13" s="37" t="n">
        <v>40.913927</v>
      </c>
      <c r="U13" s="37" t="n">
        <v>47.158956</v>
      </c>
      <c r="V13" s="37" t="n">
        <v>48.691928</v>
      </c>
      <c r="W13" s="8" t="n"/>
      <c r="X13" s="38" t="n">
        <v>45.913526</v>
      </c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  <c r="X14" s="7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7" t="n"/>
      <c r="O15" s="35" t="n">
        <v>871.0885469999999</v>
      </c>
      <c r="P15" s="35" t="n">
        <v>901.637525</v>
      </c>
      <c r="Q15" s="35" t="n">
        <v>897.162246</v>
      </c>
      <c r="R15" s="8" t="n"/>
      <c r="S15" s="34" t="n">
        <v>951.66675</v>
      </c>
      <c r="T15" s="35" t="n">
        <v>1042.815452</v>
      </c>
      <c r="U15" s="35" t="n">
        <v>1079.386873</v>
      </c>
      <c r="V15" s="35" t="n">
        <v>1065.95523</v>
      </c>
      <c r="W15" s="36">
        <f>SUM(S15:V15)</f>
        <v/>
      </c>
      <c r="X15" s="34" t="n">
        <v>1130.714265</v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7" t="n"/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8" t="n"/>
      <c r="X16" s="22">
        <f>IFERROR((X15-S15)/S15,"-")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  <c r="X17" s="22">
        <f>IFERROR((X15-V15)/V15,"-")</f>
        <v/>
      </c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7" t="n"/>
      <c r="T18" s="30">
        <f>T15-O15</f>
        <v/>
      </c>
      <c r="U18" s="30">
        <f>U15-P15</f>
        <v/>
      </c>
      <c r="V18" s="30">
        <f>V15-Q15</f>
        <v/>
      </c>
      <c r="W18" s="8" t="n"/>
      <c r="X18" s="29">
        <f>X15-S15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  <c r="X19" s="29">
        <f>X15-V15</f>
        <v/>
      </c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  <c r="X20" s="7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7" t="n"/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  <c r="X21" s="22">
        <f>IFERROR((X9-X15)/X15,"-")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  <c r="X22" s="7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P23" s="35">
        <f>P9/(1+$C$3)</f>
        <v/>
      </c>
      <c r="R23" s="8" t="n"/>
      <c r="S23" s="7" t="n"/>
      <c r="W23" s="8" t="n"/>
      <c r="X23" s="7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P24" s="14">
        <f>IFERROR((P23-K9)/K9,"-")</f>
        <v/>
      </c>
      <c r="R24" s="8" t="n"/>
      <c r="S24" s="7" t="n"/>
      <c r="W24" s="8" t="n"/>
      <c r="X24" s="7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P25" s="14">
        <f>IFERROR((P23-O9)/O9,"-")</f>
        <v/>
      </c>
      <c r="R25" s="8" t="n"/>
      <c r="S25" s="7" t="n"/>
      <c r="W25" s="8" t="n"/>
      <c r="X25" s="7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P26" s="30">
        <f>P23-K9</f>
        <v/>
      </c>
      <c r="R26" s="8" t="n"/>
      <c r="S26" s="7" t="n"/>
      <c r="W26" s="8" t="n"/>
      <c r="X26" s="7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P27" s="30">
        <f>P23-O9</f>
        <v/>
      </c>
      <c r="R27" s="8" t="n"/>
      <c r="S27" s="7" t="n"/>
      <c r="W27" s="8" t="n"/>
      <c r="X27" s="7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  <c r="X28" s="7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P29" s="14">
        <f>IFERROR((P23-P15)/P15,"-")</f>
        <v/>
      </c>
      <c r="R29" s="8" t="n"/>
      <c r="S29" s="7" t="n"/>
      <c r="W29" s="8" t="n"/>
      <c r="X29" s="7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  <c r="X30" s="7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  <c r="X31" s="7" t="n"/>
    </row>
    <row r="32">
      <c r="B32" s="3" t="inlineStr">
        <is>
          <t>Actual Revenue</t>
        </is>
      </c>
      <c r="D32" s="34" t="n">
        <v>524.999</v>
      </c>
      <c r="E32" s="35" t="n">
        <v>553.201</v>
      </c>
      <c r="F32" s="35" t="n">
        <v>592.8680000000001</v>
      </c>
      <c r="G32" s="35" t="n">
        <v>627.955</v>
      </c>
      <c r="H32" s="36">
        <f>SUM(D32:G32)</f>
        <v/>
      </c>
      <c r="I32" s="34" t="n">
        <v>647.9</v>
      </c>
      <c r="J32" s="35" t="n">
        <v>678.034</v>
      </c>
      <c r="K32" s="35" t="n">
        <v>719.226</v>
      </c>
      <c r="L32" s="35" t="n">
        <v>788.112</v>
      </c>
      <c r="M32" s="36">
        <f>SUM(I32:L32)</f>
        <v/>
      </c>
      <c r="N32" s="34" t="n">
        <v>815.751</v>
      </c>
      <c r="R32" s="8" t="n"/>
      <c r="S32" s="7" t="n"/>
      <c r="W32" s="8" t="n"/>
      <c r="X32" s="7" t="n"/>
    </row>
    <row r="33">
      <c r="B33" s="3" t="inlineStr">
        <is>
          <t>Consensus Revenue</t>
        </is>
      </c>
      <c r="D33" s="34" t="n">
        <v>507.624497</v>
      </c>
      <c r="E33" s="35" t="n">
        <v>536.116455</v>
      </c>
      <c r="F33" s="35" t="n">
        <v>567.464678</v>
      </c>
      <c r="G33" s="35" t="n">
        <v>605.5129020000001</v>
      </c>
      <c r="H33" s="36">
        <f>SUM(D33:G33)</f>
        <v/>
      </c>
      <c r="I33" s="34" t="n">
        <v>634.377784</v>
      </c>
      <c r="J33" s="35" t="n">
        <v>666.455996</v>
      </c>
      <c r="K33" s="35" t="n">
        <v>706.943399</v>
      </c>
      <c r="L33" s="35" t="n">
        <v>773.283192</v>
      </c>
      <c r="M33" s="36">
        <f>SUM(I33:L33)</f>
        <v/>
      </c>
      <c r="N33" s="34" t="n">
        <v>798.3348</v>
      </c>
      <c r="R33" s="8" t="n"/>
      <c r="S33" s="7" t="n"/>
      <c r="W33" s="8" t="n"/>
      <c r="X33" s="7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29">
        <f>N32-N33</f>
        <v/>
      </c>
      <c r="R34" s="8" t="n"/>
      <c r="S34" s="7" t="n"/>
      <c r="W34" s="8" t="n"/>
      <c r="X34" s="7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39">
        <f>IFERROR((N32-N33)/N33,"-")</f>
        <v/>
      </c>
      <c r="R35" s="8" t="n"/>
      <c r="S35" s="7" t="n"/>
      <c r="W35" s="8" t="n"/>
      <c r="X35" s="7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  <c r="X36" s="7" t="n"/>
    </row>
    <row r="37">
      <c r="B37" s="2" t="inlineStr">
        <is>
          <t xml:space="preserve">   Trailing 4Q Avg Beat</t>
        </is>
      </c>
      <c r="C37" s="41">
        <f>AVERAGE(J35,K35,L35,N35)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  <c r="X37" s="7" t="n"/>
    </row>
    <row r="38">
      <c r="B38" s="2" t="inlineStr">
        <is>
          <t xml:space="preserve">   Trailing 8Q Avg Beat</t>
        </is>
      </c>
      <c r="C38" s="41">
        <f>AVERAGE(E35,F35,G35,I35,J35,K35,L35,N35)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  <c r="X38" s="7" t="n"/>
    </row>
    <row r="39">
      <c r="B39" s="2" t="inlineStr">
        <is>
          <t xml:space="preserve">   Selected Beat Cadence</t>
        </is>
      </c>
      <c r="C39" s="42" t="n">
        <v>0.019</v>
      </c>
      <c r="D39" s="7" t="n"/>
      <c r="H39" s="8" t="n"/>
      <c r="I39" s="7" t="n"/>
      <c r="M39" s="8" t="n"/>
      <c r="N39" s="7" t="n"/>
      <c r="R39" s="8" t="n"/>
      <c r="S39" s="7" t="n"/>
      <c r="W39" s="8" t="n"/>
      <c r="X39" s="7" t="n"/>
    </row>
  </sheetData>
  <conditionalFormatting sqref="D21:X21">
    <cfRule type="expression" priority="1" dxfId="0">
      <formula>D21&gt;0</formula>
    </cfRule>
    <cfRule type="expression" priority="2" dxfId="1">
      <formula>D21&lt;0</formula>
    </cfRule>
  </conditionalFormatting>
  <conditionalFormatting sqref="D29:X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1:X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  <col width="10.5" customWidth="1" min="24" max="24"/>
  </cols>
  <sheetData>
    <row r="1">
      <c r="B1" s="1" t="inlineStr">
        <is>
          <t>CRWD: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0.009399999999999999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  <c r="X7" s="4" t="inlineStr">
        <is>
          <t>Q1-28E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  <c r="X8" s="7" t="n"/>
    </row>
    <row r="9">
      <c r="B9" s="3" t="inlineStr">
        <is>
          <t>Total Revenue</t>
        </is>
      </c>
      <c r="D9" s="34" t="n">
        <v>845.335</v>
      </c>
      <c r="E9" s="35" t="n">
        <v>921.0359999999999</v>
      </c>
      <c r="F9" s="35" t="n">
        <v>963.872</v>
      </c>
      <c r="G9" s="35" t="n">
        <v>1010.178</v>
      </c>
      <c r="H9" s="36">
        <f>SUM(D9:G9)</f>
        <v/>
      </c>
      <c r="I9" s="34" t="n">
        <v>1058.538</v>
      </c>
      <c r="J9" s="35" t="n">
        <v>1103.434</v>
      </c>
      <c r="K9" s="35" t="n">
        <v>1168.952</v>
      </c>
      <c r="L9" s="35" t="n">
        <v>1234.244</v>
      </c>
      <c r="M9" s="36">
        <f>SUM(I9:L9)</f>
        <v/>
      </c>
      <c r="N9" s="34" t="n">
        <v>1305.375</v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  <c r="X9" s="34">
        <f>V9+X13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  <c r="X10" s="22">
        <f>IFERROR((X9-S9)/S9,"-")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  <c r="X11" s="22">
        <f>IFERROR((X9-V9)/V9,"-")</f>
        <v/>
      </c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  <c r="X12" s="29">
        <f>X9-S9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29">
        <f>N9-L9</f>
        <v/>
      </c>
      <c r="O13" s="37" t="n">
        <v>61.282937</v>
      </c>
      <c r="P13" s="37" t="n">
        <v>37.309583</v>
      </c>
      <c r="Q13" s="37" t="n">
        <v>68.717921</v>
      </c>
      <c r="R13" s="8" t="n"/>
      <c r="S13" s="38" t="n">
        <v>69.098766</v>
      </c>
      <c r="T13" s="37" t="n">
        <v>56.809952</v>
      </c>
      <c r="U13" s="37" t="n">
        <v>65.35615300000001</v>
      </c>
      <c r="V13" s="37" t="n">
        <v>71.808007</v>
      </c>
      <c r="W13" s="8" t="n"/>
      <c r="X13" s="38" t="n">
        <v>75.38729600000001</v>
      </c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  <c r="X14" s="7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7" t="n"/>
      <c r="O15" s="35" t="n">
        <v>1353.930986</v>
      </c>
      <c r="P15" s="35" t="n">
        <v>1434.322609</v>
      </c>
      <c r="Q15" s="35" t="n">
        <v>1511.314205</v>
      </c>
      <c r="R15" s="8" t="n"/>
      <c r="S15" s="34" t="n">
        <v>1598.930318</v>
      </c>
      <c r="T15" s="35" t="n">
        <v>1665.562346</v>
      </c>
      <c r="U15" s="35" t="n">
        <v>1744.820714</v>
      </c>
      <c r="V15" s="35" t="n">
        <v>1835.014942</v>
      </c>
      <c r="W15" s="36">
        <f>SUM(S15:V15)</f>
        <v/>
      </c>
      <c r="X15" s="34" t="n">
        <v>1939.233595</v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7" t="n"/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8" t="n"/>
      <c r="X16" s="22">
        <f>IFERROR((X15-S15)/S15,"-")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  <c r="X17" s="22">
        <f>IFERROR((X15-V15)/V15,"-")</f>
        <v/>
      </c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7" t="n"/>
      <c r="T18" s="30">
        <f>T15-O15</f>
        <v/>
      </c>
      <c r="U18" s="30">
        <f>U15-P15</f>
        <v/>
      </c>
      <c r="V18" s="30">
        <f>V15-Q15</f>
        <v/>
      </c>
      <c r="W18" s="8" t="n"/>
      <c r="X18" s="29">
        <f>X15-S15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  <c r="X19" s="29">
        <f>X15-V15</f>
        <v/>
      </c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  <c r="X20" s="7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7" t="n"/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  <c r="X21" s="22">
        <f>IFERROR((X9-X15)/X15,"-")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  <c r="X22" s="7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P23" s="35">
        <f>P9/(1+$C$3)</f>
        <v/>
      </c>
      <c r="R23" s="8" t="n"/>
      <c r="S23" s="7" t="n"/>
      <c r="W23" s="8" t="n"/>
      <c r="X23" s="7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P24" s="14">
        <f>IFERROR((P23-K9)/K9,"-")</f>
        <v/>
      </c>
      <c r="R24" s="8" t="n"/>
      <c r="S24" s="7" t="n"/>
      <c r="W24" s="8" t="n"/>
      <c r="X24" s="7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P25" s="14">
        <f>IFERROR((P23-O9)/O9,"-")</f>
        <v/>
      </c>
      <c r="R25" s="8" t="n"/>
      <c r="S25" s="7" t="n"/>
      <c r="W25" s="8" t="n"/>
      <c r="X25" s="7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P26" s="30">
        <f>P23-K9</f>
        <v/>
      </c>
      <c r="R26" s="8" t="n"/>
      <c r="S26" s="7" t="n"/>
      <c r="W26" s="8" t="n"/>
      <c r="X26" s="7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P27" s="30">
        <f>P23-O9</f>
        <v/>
      </c>
      <c r="R27" s="8" t="n"/>
      <c r="S27" s="7" t="n"/>
      <c r="W27" s="8" t="n"/>
      <c r="X27" s="7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  <c r="X28" s="7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P29" s="14">
        <f>IFERROR((P23-P15)/P15,"-")</f>
        <v/>
      </c>
      <c r="R29" s="8" t="n"/>
      <c r="S29" s="7" t="n"/>
      <c r="W29" s="8" t="n"/>
      <c r="X29" s="7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  <c r="X30" s="7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  <c r="X31" s="7" t="n"/>
    </row>
    <row r="32">
      <c r="B32" s="3" t="inlineStr">
        <is>
          <t>Actual Revenue</t>
        </is>
      </c>
      <c r="D32" s="34" t="n">
        <v>845.335</v>
      </c>
      <c r="E32" s="35" t="n">
        <v>921.0359999999999</v>
      </c>
      <c r="F32" s="35" t="n">
        <v>963.872</v>
      </c>
      <c r="G32" s="35" t="n">
        <v>1010.178</v>
      </c>
      <c r="H32" s="36">
        <f>SUM(D32:G32)</f>
        <v/>
      </c>
      <c r="I32" s="34" t="n">
        <v>1058.538</v>
      </c>
      <c r="J32" s="35" t="n">
        <v>1103.434</v>
      </c>
      <c r="K32" s="35" t="n">
        <v>1168.952</v>
      </c>
      <c r="L32" s="35" t="n">
        <v>1234.244</v>
      </c>
      <c r="M32" s="36">
        <f>SUM(I32:L32)</f>
        <v/>
      </c>
      <c r="N32" s="34" t="n">
        <v>1305.375</v>
      </c>
      <c r="R32" s="8" t="n"/>
      <c r="S32" s="7" t="n"/>
      <c r="W32" s="8" t="n"/>
      <c r="X32" s="7" t="n"/>
    </row>
    <row r="33">
      <c r="B33" s="3" t="inlineStr">
        <is>
          <t>Consensus Revenue</t>
        </is>
      </c>
      <c r="D33" s="34" t="n">
        <v>839.125165</v>
      </c>
      <c r="E33" s="35" t="n">
        <v>904.562868</v>
      </c>
      <c r="F33" s="35" t="n">
        <v>960.02792</v>
      </c>
      <c r="G33" s="35" t="n">
        <v>982.798405</v>
      </c>
      <c r="H33" s="36">
        <f>SUM(D33:G33)</f>
        <v/>
      </c>
      <c r="I33" s="34" t="n">
        <v>1034.841901</v>
      </c>
      <c r="J33" s="35" t="n">
        <v>1104.640779</v>
      </c>
      <c r="K33" s="35" t="n">
        <v>1150.391148</v>
      </c>
      <c r="L33" s="35" t="n">
        <v>1214.238168</v>
      </c>
      <c r="M33" s="36">
        <f>SUM(I33:L33)</f>
        <v/>
      </c>
      <c r="N33" s="34" t="n">
        <v>1297.483</v>
      </c>
      <c r="R33" s="8" t="n"/>
      <c r="S33" s="7" t="n"/>
      <c r="W33" s="8" t="n"/>
      <c r="X33" s="7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29">
        <f>N32-N33</f>
        <v/>
      </c>
      <c r="R34" s="8" t="n"/>
      <c r="S34" s="7" t="n"/>
      <c r="W34" s="8" t="n"/>
      <c r="X34" s="7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3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39">
        <f>IFERROR((N32-N33)/N33,"-")</f>
        <v/>
      </c>
      <c r="R35" s="8" t="n"/>
      <c r="S35" s="7" t="n"/>
      <c r="W35" s="8" t="n"/>
      <c r="X35" s="7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  <c r="X36" s="7" t="n"/>
    </row>
    <row r="37">
      <c r="B37" s="2" t="inlineStr">
        <is>
          <t xml:space="preserve">   Trailing 4Q Avg Beat</t>
        </is>
      </c>
      <c r="C37" s="41">
        <f>AVERAGE(J35,K35,L35,N35)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  <c r="X37" s="7" t="n"/>
    </row>
    <row r="38">
      <c r="B38" s="2" t="inlineStr">
        <is>
          <t xml:space="preserve">   Trailing 8Q Avg Beat</t>
        </is>
      </c>
      <c r="C38" s="41">
        <f>AVERAGE(E35,F35,G35,I35,J35,K35,L35,N35)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  <c r="X38" s="7" t="n"/>
    </row>
    <row r="39">
      <c r="B39" s="2" t="inlineStr">
        <is>
          <t xml:space="preserve">   Selected Beat Cadence</t>
        </is>
      </c>
      <c r="C39" s="42" t="n">
        <v>0.009399999999999999</v>
      </c>
      <c r="D39" s="7" t="n"/>
      <c r="H39" s="8" t="n"/>
      <c r="I39" s="7" t="n"/>
      <c r="M39" s="8" t="n"/>
      <c r="N39" s="7" t="n"/>
      <c r="R39" s="8" t="n"/>
      <c r="S39" s="7" t="n"/>
      <c r="W39" s="8" t="n"/>
      <c r="X39" s="7" t="n"/>
    </row>
  </sheetData>
  <conditionalFormatting sqref="D21:X21">
    <cfRule type="expression" priority="1" dxfId="0">
      <formula>D21&gt;0</formula>
    </cfRule>
    <cfRule type="expression" priority="2" dxfId="1">
      <formula>D21&lt;0</formula>
    </cfRule>
  </conditionalFormatting>
  <conditionalFormatting sqref="D29:X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B1:X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  <col width="10.5" customWidth="1" min="24" max="24"/>
  </cols>
  <sheetData>
    <row r="1">
      <c r="B1" s="1" t="inlineStr">
        <is>
          <t>OKTA: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0.0187</v>
      </c>
    </row>
    <row r="4">
      <c r="B4" s="9" t="inlineStr">
        <is>
          <t>Beat Window</t>
        </is>
      </c>
      <c r="C4" s="33" t="inlineStr">
        <is>
          <t>8Q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  <c r="X7" s="4" t="inlineStr">
        <is>
          <t>Q1-28E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  <c r="X8" s="7" t="n"/>
    </row>
    <row r="9">
      <c r="B9" s="3" t="inlineStr">
        <is>
          <t>Total Revenue</t>
        </is>
      </c>
      <c r="D9" s="34" t="n">
        <v>605</v>
      </c>
      <c r="E9" s="35" t="n">
        <v>617</v>
      </c>
      <c r="F9" s="35" t="n">
        <v>646</v>
      </c>
      <c r="G9" s="35" t="n">
        <v>665</v>
      </c>
      <c r="H9" s="36">
        <f>SUM(D9:G9)</f>
        <v/>
      </c>
      <c r="I9" s="34" t="n">
        <v>682</v>
      </c>
      <c r="J9" s="35" t="n">
        <v>688</v>
      </c>
      <c r="K9" s="35" t="n">
        <v>728</v>
      </c>
      <c r="L9" s="35" t="n">
        <v>742</v>
      </c>
      <c r="M9" s="36">
        <f>SUM(I9:L9)</f>
        <v/>
      </c>
      <c r="N9" s="34" t="n">
        <v>761</v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  <c r="X9" s="34">
        <f>V9+X13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  <c r="X10" s="22">
        <f>IFERROR((X9-S9)/S9,"-")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  <c r="X11" s="22">
        <f>IFERROR((X9-V9)/V9,"-")</f>
        <v/>
      </c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  <c r="X12" s="29">
        <f>X9-S9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29">
        <f>N9-L9</f>
        <v/>
      </c>
      <c r="O13" s="37" t="n">
        <v>3.346832</v>
      </c>
      <c r="P13" s="37" t="n">
        <v>38.50633</v>
      </c>
      <c r="Q13" s="37" t="n">
        <v>19.471424</v>
      </c>
      <c r="R13" s="8" t="n"/>
      <c r="S13" s="38" t="n">
        <v>19.576854</v>
      </c>
      <c r="T13" s="37" t="n">
        <v>12.908986</v>
      </c>
      <c r="U13" s="37" t="n">
        <v>26.644114</v>
      </c>
      <c r="V13" s="37" t="n">
        <v>22.629273</v>
      </c>
      <c r="W13" s="8" t="n"/>
      <c r="X13" s="38" t="n">
        <v>22.161635</v>
      </c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  <c r="X14" s="7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7" t="n"/>
      <c r="O15" s="35" t="n">
        <v>750.315924</v>
      </c>
      <c r="P15" s="35" t="n">
        <v>793.938943</v>
      </c>
      <c r="Q15" s="35" t="n">
        <v>808.0453649999999</v>
      </c>
      <c r="R15" s="8" t="n"/>
      <c r="S15" s="34" t="n">
        <v>832.586413</v>
      </c>
      <c r="T15" s="35" t="n">
        <v>823.78338</v>
      </c>
      <c r="U15" s="35" t="n">
        <v>864.032072</v>
      </c>
      <c r="V15" s="35" t="n">
        <v>879.525558</v>
      </c>
      <c r="W15" s="36">
        <f>SUM(S15:V15)</f>
        <v/>
      </c>
      <c r="X15" s="34" t="n">
        <v>905.049094</v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7" t="n"/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8" t="n"/>
      <c r="X16" s="22">
        <f>IFERROR((X15-S15)/S15,"-")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  <c r="X17" s="22">
        <f>IFERROR((X15-V15)/V15,"-")</f>
        <v/>
      </c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7" t="n"/>
      <c r="T18" s="30">
        <f>T15-O15</f>
        <v/>
      </c>
      <c r="U18" s="30">
        <f>U15-P15</f>
        <v/>
      </c>
      <c r="V18" s="30">
        <f>V15-Q15</f>
        <v/>
      </c>
      <c r="W18" s="8" t="n"/>
      <c r="X18" s="29">
        <f>X15-S15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  <c r="X19" s="29">
        <f>X15-V15</f>
        <v/>
      </c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  <c r="X20" s="7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7" t="n"/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  <c r="X21" s="22">
        <f>IFERROR((X9-X15)/X15,"-")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  <c r="X22" s="7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P23" s="35">
        <f>P9/(1+$C$3)</f>
        <v/>
      </c>
      <c r="R23" s="8" t="n"/>
      <c r="S23" s="7" t="n"/>
      <c r="W23" s="8" t="n"/>
      <c r="X23" s="7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P24" s="14">
        <f>IFERROR((P23-K9)/K9,"-")</f>
        <v/>
      </c>
      <c r="R24" s="8" t="n"/>
      <c r="S24" s="7" t="n"/>
      <c r="W24" s="8" t="n"/>
      <c r="X24" s="7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P25" s="14">
        <f>IFERROR((P23-O9)/O9,"-")</f>
        <v/>
      </c>
      <c r="R25" s="8" t="n"/>
      <c r="S25" s="7" t="n"/>
      <c r="W25" s="8" t="n"/>
      <c r="X25" s="7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P26" s="30">
        <f>P23-K9</f>
        <v/>
      </c>
      <c r="R26" s="8" t="n"/>
      <c r="S26" s="7" t="n"/>
      <c r="W26" s="8" t="n"/>
      <c r="X26" s="7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P27" s="30">
        <f>P23-O9</f>
        <v/>
      </c>
      <c r="R27" s="8" t="n"/>
      <c r="S27" s="7" t="n"/>
      <c r="W27" s="8" t="n"/>
      <c r="X27" s="7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  <c r="X28" s="7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P29" s="14">
        <f>IFERROR((P23-P15)/P15,"-")</f>
        <v/>
      </c>
      <c r="R29" s="8" t="n"/>
      <c r="S29" s="7" t="n"/>
      <c r="W29" s="8" t="n"/>
      <c r="X29" s="7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  <c r="X30" s="7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  <c r="X31" s="7" t="n"/>
    </row>
    <row r="32">
      <c r="B32" s="3" t="inlineStr">
        <is>
          <t>Actual Revenue</t>
        </is>
      </c>
      <c r="D32" s="34" t="n">
        <v>605</v>
      </c>
      <c r="E32" s="35" t="n">
        <v>617</v>
      </c>
      <c r="F32" s="35" t="n">
        <v>646</v>
      </c>
      <c r="G32" s="35" t="n">
        <v>665</v>
      </c>
      <c r="H32" s="36">
        <f>SUM(D32:G32)</f>
        <v/>
      </c>
      <c r="I32" s="34" t="n">
        <v>682</v>
      </c>
      <c r="J32" s="35" t="n">
        <v>688</v>
      </c>
      <c r="K32" s="35" t="n">
        <v>728</v>
      </c>
      <c r="L32" s="35" t="n">
        <v>742</v>
      </c>
      <c r="M32" s="36">
        <f>SUM(I32:L32)</f>
        <v/>
      </c>
      <c r="N32" s="34" t="n">
        <v>761</v>
      </c>
      <c r="R32" s="8" t="n"/>
      <c r="S32" s="7" t="n"/>
      <c r="W32" s="8" t="n"/>
      <c r="X32" s="7" t="n"/>
    </row>
    <row r="33">
      <c r="B33" s="3" t="inlineStr">
        <is>
          <t>Consensus Revenue</t>
        </is>
      </c>
      <c r="D33" s="34" t="n">
        <v>587.195466</v>
      </c>
      <c r="E33" s="35" t="n">
        <v>604.3479129999999</v>
      </c>
      <c r="F33" s="35" t="n">
        <v>632.601477</v>
      </c>
      <c r="G33" s="35" t="n">
        <v>649.738357</v>
      </c>
      <c r="H33" s="36">
        <f>SUM(D33:G33)</f>
        <v/>
      </c>
      <c r="I33" s="34" t="n">
        <v>668.914968</v>
      </c>
      <c r="J33" s="35" t="n">
        <v>680.276536</v>
      </c>
      <c r="K33" s="35" t="n">
        <v>712.26333</v>
      </c>
      <c r="L33" s="35" t="n">
        <v>730.821764</v>
      </c>
      <c r="M33" s="36">
        <f>SUM(I33:L33)</f>
        <v/>
      </c>
      <c r="N33" s="34" t="n">
        <v>749.5245</v>
      </c>
      <c r="R33" s="8" t="n"/>
      <c r="S33" s="7" t="n"/>
      <c r="W33" s="8" t="n"/>
      <c r="X33" s="7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29">
        <f>N32-N33</f>
        <v/>
      </c>
      <c r="R34" s="8" t="n"/>
      <c r="S34" s="7" t="n"/>
      <c r="W34" s="8" t="n"/>
      <c r="X34" s="7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39">
        <f>IFERROR((N32-N33)/N33,"-")</f>
        <v/>
      </c>
      <c r="R35" s="8" t="n"/>
      <c r="S35" s="7" t="n"/>
      <c r="W35" s="8" t="n"/>
      <c r="X35" s="7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  <c r="X36" s="7" t="n"/>
    </row>
    <row r="37">
      <c r="B37" s="2" t="inlineStr">
        <is>
          <t xml:space="preserve">   Trailing 4Q Avg Beat</t>
        </is>
      </c>
      <c r="C37" s="41">
        <f>AVERAGE(J35,K35,L35,N35)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  <c r="X37" s="7" t="n"/>
    </row>
    <row r="38">
      <c r="B38" s="2" t="inlineStr">
        <is>
          <t xml:space="preserve">   Trailing 8Q Avg Beat</t>
        </is>
      </c>
      <c r="C38" s="41">
        <f>AVERAGE(E35,F35,G35,I35,J35,K35,L35,N35)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  <c r="X38" s="7" t="n"/>
    </row>
    <row r="39">
      <c r="B39" s="2" t="inlineStr">
        <is>
          <t xml:space="preserve">   Selected Beat Cadence</t>
        </is>
      </c>
      <c r="C39" s="42" t="n">
        <v>0.0187</v>
      </c>
      <c r="D39" s="7" t="n"/>
      <c r="H39" s="8" t="n"/>
      <c r="I39" s="7" t="n"/>
      <c r="M39" s="8" t="n"/>
      <c r="N39" s="7" t="n"/>
      <c r="R39" s="8" t="n"/>
      <c r="S39" s="7" t="n"/>
      <c r="W39" s="8" t="n"/>
      <c r="X39" s="7" t="n"/>
    </row>
  </sheetData>
  <conditionalFormatting sqref="D21:X21">
    <cfRule type="expression" priority="1" dxfId="0">
      <formula>D21&gt;0</formula>
    </cfRule>
    <cfRule type="expression" priority="2" dxfId="1">
      <formula>D21&lt;0</formula>
    </cfRule>
  </conditionalFormatting>
  <conditionalFormatting sqref="D29:X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TTD: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0.0178</v>
      </c>
    </row>
    <row r="4">
      <c r="B4" s="9" t="inlineStr">
        <is>
          <t>Beat Window</t>
        </is>
      </c>
      <c r="C4" s="33" t="inlineStr">
        <is>
          <t>8Q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491.253</v>
      </c>
      <c r="E9" s="35" t="n">
        <v>584.55</v>
      </c>
      <c r="F9" s="35" t="n">
        <v>628.016</v>
      </c>
      <c r="G9" s="35" t="n">
        <v>741.0119999999999</v>
      </c>
      <c r="H9" s="36">
        <f>SUM(D9:G9)</f>
        <v/>
      </c>
      <c r="I9" s="34" t="n">
        <v>616.021</v>
      </c>
      <c r="J9" s="35" t="n">
        <v>694.039</v>
      </c>
      <c r="K9" s="35" t="n">
        <v>739.433</v>
      </c>
      <c r="L9" s="35" t="n">
        <v>846.7910000000001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-139.725835</v>
      </c>
      <c r="O13" s="37" t="n">
        <v>86.95004</v>
      </c>
      <c r="P13" s="37" t="n">
        <v>52.032119</v>
      </c>
      <c r="Q13" s="37" t="n">
        <v>84.702631</v>
      </c>
      <c r="R13" s="8" t="n"/>
      <c r="S13" s="38" t="n">
        <v>-37.219421</v>
      </c>
      <c r="T13" s="37" t="n">
        <v>34.809478</v>
      </c>
      <c r="U13" s="37" t="n">
        <v>42.324274</v>
      </c>
      <c r="V13" s="37" t="n">
        <v>65.266164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694.699514</v>
      </c>
      <c r="O15" s="35" t="n">
        <v>782.682013</v>
      </c>
      <c r="P15" s="35" t="n">
        <v>838.44064</v>
      </c>
      <c r="Q15" s="35" t="n">
        <v>977.6640159999999</v>
      </c>
      <c r="R15" s="36">
        <f>SUM(N15:Q15)</f>
        <v/>
      </c>
      <c r="S15" s="34" t="n">
        <v>782.240962</v>
      </c>
      <c r="T15" s="35" t="n">
        <v>883.406349</v>
      </c>
      <c r="U15" s="35" t="n">
        <v>949.350716</v>
      </c>
      <c r="V15" s="35" t="n">
        <v>1094.219016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491.253</v>
      </c>
      <c r="E32" s="35" t="n">
        <v>584.55</v>
      </c>
      <c r="F32" s="35" t="n">
        <v>628.016</v>
      </c>
      <c r="G32" s="35" t="n">
        <v>741.0119999999999</v>
      </c>
      <c r="H32" s="36">
        <f>SUM(D32:G32)</f>
        <v/>
      </c>
      <c r="I32" s="34" t="n">
        <v>616.021</v>
      </c>
      <c r="J32" s="35" t="n">
        <v>694.039</v>
      </c>
      <c r="K32" s="35" t="n">
        <v>739.433</v>
      </c>
      <c r="L32" s="35" t="n">
        <v>846.7910000000001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480.13542</v>
      </c>
      <c r="E33" s="35" t="n">
        <v>578.029625</v>
      </c>
      <c r="F33" s="35" t="n">
        <v>620.160851</v>
      </c>
      <c r="G33" s="35" t="n">
        <v>758.938677</v>
      </c>
      <c r="H33" s="36">
        <f>SUM(D33:G33)</f>
        <v/>
      </c>
      <c r="I33" s="34" t="n">
        <v>575.311727</v>
      </c>
      <c r="J33" s="35" t="n">
        <v>685.467361</v>
      </c>
      <c r="K33" s="35" t="n">
        <v>719.042199</v>
      </c>
      <c r="L33" s="35" t="n">
        <v>840.6347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3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>
        <f>AVERAGE(I35,J35,K35,L35)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>
        <f>AVERAGE(D35,E35,F35,G35,I35,J35,K35,L35)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0.0178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B1:X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  <col width="10.5" customWidth="1" min="24" max="24"/>
  </cols>
  <sheetData>
    <row r="1">
      <c r="B1" s="1" t="inlineStr">
        <is>
          <t>GTLB: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0.0277</v>
      </c>
    </row>
    <row r="4">
      <c r="B4" s="9" t="inlineStr">
        <is>
          <t>Beat Window</t>
        </is>
      </c>
      <c r="C4" s="33" t="inlineStr">
        <is>
          <t>8Q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  <c r="X7" s="4" t="inlineStr">
        <is>
          <t>Q1-28E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  <c r="X8" s="7" t="n"/>
    </row>
    <row r="9">
      <c r="B9" s="3" t="inlineStr">
        <is>
          <t>Total Revenue</t>
        </is>
      </c>
      <c r="D9" s="34" t="n">
        <v>163.779</v>
      </c>
      <c r="E9" s="35" t="n">
        <v>169.187</v>
      </c>
      <c r="F9" s="35" t="n">
        <v>182.584</v>
      </c>
      <c r="G9" s="35" t="n">
        <v>196.047</v>
      </c>
      <c r="H9" s="36">
        <f>SUM(D9:G9)</f>
        <v/>
      </c>
      <c r="I9" s="34" t="n">
        <v>211.431</v>
      </c>
      <c r="J9" s="35" t="n">
        <v>214.509</v>
      </c>
      <c r="K9" s="35" t="n">
        <v>235.96</v>
      </c>
      <c r="L9" s="35" t="n">
        <v>244.353</v>
      </c>
      <c r="M9" s="36">
        <f>SUM(I9:L9)</f>
        <v/>
      </c>
      <c r="N9" s="34" t="n">
        <v>262</v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  <c r="X9" s="34">
        <f>V9+X13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  <c r="X10" s="22">
        <f>IFERROR((X9-S9)/S9,"-")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  <c r="X11" s="22">
        <f>IFERROR((X9-V9)/V9,"-")</f>
        <v/>
      </c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  <c r="X12" s="29">
        <f>X9-S9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29">
        <f>N9-L9</f>
        <v/>
      </c>
      <c r="O13" s="37" t="n">
        <v>-5.904904</v>
      </c>
      <c r="P13" s="37" t="n">
        <v>27.632411</v>
      </c>
      <c r="Q13" s="37" t="n">
        <v>11.436643</v>
      </c>
      <c r="R13" s="8" t="n"/>
      <c r="S13" s="38" t="n">
        <v>16.177787</v>
      </c>
      <c r="T13" s="37" t="n">
        <v>9.202346</v>
      </c>
      <c r="U13" s="37" t="n">
        <v>16.36351</v>
      </c>
      <c r="V13" s="37" t="n">
        <v>14.450703</v>
      </c>
      <c r="W13" s="8" t="n"/>
      <c r="X13" s="38" t="n">
        <v>16.867612</v>
      </c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  <c r="X14" s="7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7" t="n"/>
      <c r="O15" s="35" t="n">
        <v>249.192465</v>
      </c>
      <c r="P15" s="35" t="n">
        <v>274.111828</v>
      </c>
      <c r="Q15" s="35" t="n">
        <v>282.690683</v>
      </c>
      <c r="R15" s="8" t="n"/>
      <c r="S15" s="34" t="n">
        <v>300.622805</v>
      </c>
      <c r="T15" s="35" t="n">
        <v>297.1961</v>
      </c>
      <c r="U15" s="35" t="n">
        <v>316.862972</v>
      </c>
      <c r="V15" s="35" t="n">
        <v>327.898521</v>
      </c>
      <c r="W15" s="36">
        <f>SUM(S15:V15)</f>
        <v/>
      </c>
      <c r="X15" s="34" t="n">
        <v>346.846848</v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7" t="n"/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8" t="n"/>
      <c r="X16" s="22">
        <f>IFERROR((X15-S15)/S15,"-")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  <c r="X17" s="22">
        <f>IFERROR((X15-V15)/V15,"-")</f>
        <v/>
      </c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7" t="n"/>
      <c r="T18" s="30">
        <f>T15-O15</f>
        <v/>
      </c>
      <c r="U18" s="30">
        <f>U15-P15</f>
        <v/>
      </c>
      <c r="V18" s="30">
        <f>V15-Q15</f>
        <v/>
      </c>
      <c r="W18" s="8" t="n"/>
      <c r="X18" s="29">
        <f>X15-S15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  <c r="X19" s="29">
        <f>X15-V15</f>
        <v/>
      </c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  <c r="X20" s="7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7" t="n"/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  <c r="X21" s="22">
        <f>IFERROR((X9-X15)/X15,"-")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  <c r="X22" s="7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P23" s="35">
        <f>P9/(1+$C$3)</f>
        <v/>
      </c>
      <c r="R23" s="8" t="n"/>
      <c r="S23" s="7" t="n"/>
      <c r="W23" s="8" t="n"/>
      <c r="X23" s="7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P24" s="14">
        <f>IFERROR((P23-K9)/K9,"-")</f>
        <v/>
      </c>
      <c r="R24" s="8" t="n"/>
      <c r="S24" s="7" t="n"/>
      <c r="W24" s="8" t="n"/>
      <c r="X24" s="7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P25" s="14">
        <f>IFERROR((P23-O9)/O9,"-")</f>
        <v/>
      </c>
      <c r="R25" s="8" t="n"/>
      <c r="S25" s="7" t="n"/>
      <c r="W25" s="8" t="n"/>
      <c r="X25" s="7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P26" s="30">
        <f>P23-K9</f>
        <v/>
      </c>
      <c r="R26" s="8" t="n"/>
      <c r="S26" s="7" t="n"/>
      <c r="W26" s="8" t="n"/>
      <c r="X26" s="7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P27" s="30">
        <f>P23-O9</f>
        <v/>
      </c>
      <c r="R27" s="8" t="n"/>
      <c r="S27" s="7" t="n"/>
      <c r="W27" s="8" t="n"/>
      <c r="X27" s="7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  <c r="X28" s="7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P29" s="14">
        <f>IFERROR((P23-P15)/P15,"-")</f>
        <v/>
      </c>
      <c r="R29" s="8" t="n"/>
      <c r="S29" s="7" t="n"/>
      <c r="W29" s="8" t="n"/>
      <c r="X29" s="7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  <c r="X30" s="7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  <c r="X31" s="7" t="n"/>
    </row>
    <row r="32">
      <c r="B32" s="3" t="inlineStr">
        <is>
          <t>Actual Revenue</t>
        </is>
      </c>
      <c r="D32" s="34" t="n">
        <v>163.779</v>
      </c>
      <c r="E32" s="35" t="n">
        <v>169.187</v>
      </c>
      <c r="F32" s="35" t="n">
        <v>182.584</v>
      </c>
      <c r="G32" s="35" t="n">
        <v>196.047</v>
      </c>
      <c r="H32" s="36">
        <f>SUM(D32:G32)</f>
        <v/>
      </c>
      <c r="I32" s="34" t="n">
        <v>211.431</v>
      </c>
      <c r="J32" s="35" t="n">
        <v>214.509</v>
      </c>
      <c r="K32" s="35" t="n">
        <v>235.96</v>
      </c>
      <c r="L32" s="35" t="n">
        <v>244.353</v>
      </c>
      <c r="M32" s="36">
        <f>SUM(I32:L32)</f>
        <v/>
      </c>
      <c r="N32" s="34" t="n">
        <v>262</v>
      </c>
      <c r="R32" s="8" t="n"/>
      <c r="S32" s="7" t="n"/>
      <c r="W32" s="8" t="n"/>
      <c r="X32" s="7" t="n"/>
    </row>
    <row r="33">
      <c r="B33" s="3" t="inlineStr">
        <is>
          <t>Consensus Revenue</t>
        </is>
      </c>
      <c r="D33" s="34" t="n">
        <v>165.89</v>
      </c>
      <c r="E33" s="35" t="n">
        <v>165.888961</v>
      </c>
      <c r="F33" s="35" t="n">
        <v>176.855671</v>
      </c>
      <c r="G33" s="35" t="n">
        <v>187.924683</v>
      </c>
      <c r="H33" s="36">
        <f>SUM(D33:G33)</f>
        <v/>
      </c>
      <c r="I33" s="34" t="n">
        <v>206.165187</v>
      </c>
      <c r="J33" s="35" t="n">
        <v>212.961087</v>
      </c>
      <c r="K33" s="35" t="n">
        <v>226.896535</v>
      </c>
      <c r="L33" s="35" t="n">
        <v>239.318689</v>
      </c>
      <c r="M33" s="36">
        <f>SUM(I33:L33)</f>
        <v/>
      </c>
      <c r="N33" s="34" t="n">
        <v>252.2325</v>
      </c>
      <c r="R33" s="8" t="n"/>
      <c r="S33" s="7" t="n"/>
      <c r="W33" s="8" t="n"/>
      <c r="X33" s="7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29">
        <f>N32-N33</f>
        <v/>
      </c>
      <c r="R34" s="8" t="n"/>
      <c r="S34" s="7" t="n"/>
      <c r="W34" s="8" t="n"/>
      <c r="X34" s="7" t="n"/>
    </row>
    <row r="35">
      <c r="B35" s="2" t="inlineStr">
        <is>
          <t xml:space="preserve">   Beat / Miss (%)</t>
        </is>
      </c>
      <c r="D35" s="44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39">
        <f>IFERROR((N32-N33)/N33,"-")</f>
        <v/>
      </c>
      <c r="R35" s="8" t="n"/>
      <c r="S35" s="7" t="n"/>
      <c r="W35" s="8" t="n"/>
      <c r="X35" s="7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  <c r="X36" s="7" t="n"/>
    </row>
    <row r="37">
      <c r="B37" s="2" t="inlineStr">
        <is>
          <t xml:space="preserve">   Trailing 4Q Avg Beat</t>
        </is>
      </c>
      <c r="C37" s="41">
        <f>AVERAGE(J35,K35,L35,N35)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  <c r="X37" s="7" t="n"/>
    </row>
    <row r="38">
      <c r="B38" s="2" t="inlineStr">
        <is>
          <t xml:space="preserve">   Trailing 8Q Avg Beat</t>
        </is>
      </c>
      <c r="C38" s="41">
        <f>AVERAGE(E35,F35,G35,I35,J35,K35,L35,N35)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  <c r="X38" s="7" t="n"/>
    </row>
    <row r="39">
      <c r="B39" s="2" t="inlineStr">
        <is>
          <t xml:space="preserve">   Selected Beat Cadence</t>
        </is>
      </c>
      <c r="C39" s="42" t="n">
        <v>0.0277</v>
      </c>
      <c r="D39" s="7" t="n"/>
      <c r="H39" s="8" t="n"/>
      <c r="I39" s="7" t="n"/>
      <c r="M39" s="8" t="n"/>
      <c r="N39" s="7" t="n"/>
      <c r="R39" s="8" t="n"/>
      <c r="S39" s="7" t="n"/>
      <c r="W39" s="8" t="n"/>
      <c r="X39" s="7" t="n"/>
    </row>
  </sheetData>
  <conditionalFormatting sqref="D21:X21">
    <cfRule type="expression" priority="1" dxfId="0">
      <formula>D21&gt;0</formula>
    </cfRule>
    <cfRule type="expression" priority="2" dxfId="1">
      <formula>D21&lt;0</formula>
    </cfRule>
  </conditionalFormatting>
  <conditionalFormatting sqref="D29:X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BILL: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0.008</v>
      </c>
    </row>
    <row r="4">
      <c r="B4" s="9" t="inlineStr">
        <is>
          <t>Beat Window</t>
        </is>
      </c>
      <c r="C4" s="33" t="inlineStr">
        <is>
          <t>8Q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323.028</v>
      </c>
      <c r="E9" s="35" t="n">
        <v>343.664</v>
      </c>
      <c r="F9" s="35" t="n">
        <v>358.45</v>
      </c>
      <c r="G9" s="35" t="n">
        <v>362.554</v>
      </c>
      <c r="H9" s="36">
        <f>SUM(D9:G9)</f>
        <v/>
      </c>
      <c r="I9" s="34" t="n">
        <v>358.217</v>
      </c>
      <c r="J9" s="35" t="n">
        <v>383.349</v>
      </c>
      <c r="K9" s="35" t="n">
        <v>395.741</v>
      </c>
      <c r="L9" s="35" t="n">
        <v>414.671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-7.962984</v>
      </c>
      <c r="O13" s="37" t="n">
        <v>10.78985</v>
      </c>
      <c r="P13" s="37" t="n">
        <v>14.262187</v>
      </c>
      <c r="Q13" s="37" t="n">
        <v>5.35669</v>
      </c>
      <c r="R13" s="8" t="n"/>
      <c r="S13" s="38" t="n">
        <v>3.54166</v>
      </c>
      <c r="T13" s="37" t="n">
        <v>14.752933</v>
      </c>
      <c r="U13" s="37" t="n">
        <v>14.272205</v>
      </c>
      <c r="V13" s="37" t="n">
        <v>10.033726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403.480175</v>
      </c>
      <c r="O15" s="35" t="n">
        <v>429.291566</v>
      </c>
      <c r="P15" s="35" t="n">
        <v>442.437611</v>
      </c>
      <c r="Q15" s="35" t="n">
        <v>461.192118</v>
      </c>
      <c r="R15" s="36">
        <f>SUM(N15:Q15)</f>
        <v/>
      </c>
      <c r="S15" s="34" t="n">
        <v>456.303764</v>
      </c>
      <c r="T15" s="35" t="n">
        <v>485.12707</v>
      </c>
      <c r="U15" s="35" t="n">
        <v>508.033079</v>
      </c>
      <c r="V15" s="35" t="n">
        <v>528.784717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323.028</v>
      </c>
      <c r="E32" s="35" t="n">
        <v>343.664</v>
      </c>
      <c r="F32" s="35" t="n">
        <v>358.45</v>
      </c>
      <c r="G32" s="35" t="n">
        <v>362.554</v>
      </c>
      <c r="H32" s="36">
        <f>SUM(D32:G32)</f>
        <v/>
      </c>
      <c r="I32" s="34" t="n">
        <v>358.217</v>
      </c>
      <c r="J32" s="35" t="n">
        <v>383.349</v>
      </c>
      <c r="K32" s="35" t="n">
        <v>395.741</v>
      </c>
      <c r="L32" s="35" t="n">
        <v>414.671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325.39</v>
      </c>
      <c r="E33" s="35" t="n">
        <v>325.78</v>
      </c>
      <c r="F33" s="35" t="n">
        <v>347.003224</v>
      </c>
      <c r="G33" s="35" t="n">
        <v>359.99011</v>
      </c>
      <c r="H33" s="36">
        <f>SUM(D33:G33)</f>
        <v/>
      </c>
      <c r="I33" s="34" t="n">
        <v>375.8939</v>
      </c>
      <c r="J33" s="35" t="n">
        <v>392.61759</v>
      </c>
      <c r="K33" s="35" t="n">
        <v>391.809085</v>
      </c>
      <c r="L33" s="35" t="n">
        <v>399.7759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44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44">
        <f>IFERROR((I32-I33)/I33,"-")</f>
        <v/>
      </c>
      <c r="J35" s="43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>
        <f>AVERAGE(I35,J35,K35,L35)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>
        <f>AVERAGE(D35,E35,F35,G35,I35,J35,K35,L35)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0.008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MNDY: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0.0166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216.913</v>
      </c>
      <c r="E9" s="35" t="n">
        <v>236.106</v>
      </c>
      <c r="F9" s="35" t="n">
        <v>251</v>
      </c>
      <c r="G9" s="35" t="n">
        <v>267.976</v>
      </c>
      <c r="H9" s="36">
        <f>SUM(D9:G9)</f>
        <v/>
      </c>
      <c r="I9" s="34" t="n">
        <v>282.25</v>
      </c>
      <c r="J9" s="35" t="n">
        <v>299.014</v>
      </c>
      <c r="K9" s="35" t="n">
        <v>316.855</v>
      </c>
      <c r="L9" s="35" t="n">
        <v>333.878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5.724763</v>
      </c>
      <c r="O13" s="37" t="n">
        <v>25.885969</v>
      </c>
      <c r="P13" s="37" t="n">
        <v>18.321188</v>
      </c>
      <c r="Q13" s="37" t="n">
        <v>18.72096</v>
      </c>
      <c r="R13" s="8" t="n"/>
      <c r="S13" s="38" t="n">
        <v>17.42277</v>
      </c>
      <c r="T13" s="37" t="n">
        <v>19.46248</v>
      </c>
      <c r="U13" s="37" t="n">
        <v>20.460788</v>
      </c>
      <c r="V13" s="37" t="n">
        <v>21.413433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334.05741</v>
      </c>
      <c r="O15" s="35" t="n">
        <v>353.898467</v>
      </c>
      <c r="P15" s="35" t="n">
        <v>373.049956</v>
      </c>
      <c r="Q15" s="35" t="n">
        <v>391.498159</v>
      </c>
      <c r="R15" s="36">
        <f>SUM(N15:Q15)</f>
        <v/>
      </c>
      <c r="S15" s="34" t="n">
        <v>397.34282</v>
      </c>
      <c r="T15" s="35" t="n">
        <v>412.882244</v>
      </c>
      <c r="U15" s="35" t="n">
        <v>433.557811</v>
      </c>
      <c r="V15" s="35" t="n">
        <v>453.447863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216.913</v>
      </c>
      <c r="E32" s="35" t="n">
        <v>236.106</v>
      </c>
      <c r="F32" s="35" t="n">
        <v>251</v>
      </c>
      <c r="G32" s="35" t="n">
        <v>267.976</v>
      </c>
      <c r="H32" s="36">
        <f>SUM(D32:G32)</f>
        <v/>
      </c>
      <c r="I32" s="34" t="n">
        <v>282.25</v>
      </c>
      <c r="J32" s="35" t="n">
        <v>299.014</v>
      </c>
      <c r="K32" s="35" t="n">
        <v>316.855</v>
      </c>
      <c r="L32" s="35" t="n">
        <v>333.878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210.545354</v>
      </c>
      <c r="E33" s="35" t="n">
        <v>229.031114</v>
      </c>
      <c r="F33" s="35" t="n">
        <v>261.28</v>
      </c>
      <c r="G33" s="35" t="n">
        <v>275.57559</v>
      </c>
      <c r="H33" s="36">
        <f>SUM(D33:G33)</f>
        <v/>
      </c>
      <c r="I33" s="34" t="n">
        <v>275.840976</v>
      </c>
      <c r="J33" s="35" t="n">
        <v>293.561211</v>
      </c>
      <c r="K33" s="35" t="n">
        <v>313.177033</v>
      </c>
      <c r="L33" s="35" t="n">
        <v>329.6657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3">
        <f>IFERROR((F32-F33)/F33,"-")</f>
        <v/>
      </c>
      <c r="G35" s="43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>
        <f>AVERAGE(I35,J35,K35,L35)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>
        <f>AVERAGE(D35,E35,F35,G35,I35,J35,K35,L35)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0.0166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CFLT: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0.0026</v>
      </c>
    </row>
    <row r="4">
      <c r="B4" s="9" t="inlineStr">
        <is>
          <t>Beat Window</t>
        </is>
      </c>
      <c r="C4" s="33" t="inlineStr">
        <is>
          <t>8Q</t>
        </is>
      </c>
    </row>
    <row r="5">
      <c r="B5" s="9" t="inlineStr">
        <is>
          <t>Momentum</t>
        </is>
      </c>
      <c r="C5" s="33" t="inlineStr">
        <is>
          <t>ACCELERATING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217.237</v>
      </c>
      <c r="E9" s="35" t="n">
        <v>234.986</v>
      </c>
      <c r="F9" s="35" t="n">
        <v>250.199</v>
      </c>
      <c r="G9" s="35" t="n">
        <v>261.22</v>
      </c>
      <c r="H9" s="36">
        <f>SUM(D9:G9)</f>
        <v/>
      </c>
      <c r="I9" s="34" t="n">
        <v>271.12</v>
      </c>
      <c r="J9" s="35" t="n">
        <v>282.285</v>
      </c>
      <c r="K9" s="35" t="n">
        <v>298.524</v>
      </c>
      <c r="L9" s="35" t="n">
        <v>314.819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2.912503</v>
      </c>
      <c r="O13" s="37" t="n">
        <v>15.94158</v>
      </c>
      <c r="P13" s="37" t="n">
        <v>15.988584</v>
      </c>
      <c r="Q13" s="37" t="n">
        <v>15.169473</v>
      </c>
      <c r="R13" s="8" t="n"/>
      <c r="S13" s="38" t="n">
        <v>12.069369</v>
      </c>
      <c r="T13" s="37" t="n">
        <v>13.212169</v>
      </c>
      <c r="U13" s="37" t="n">
        <v>15.659696</v>
      </c>
      <c r="V13" s="37" t="n">
        <v>16.23443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316.907543</v>
      </c>
      <c r="O15" s="35" t="n">
        <v>329.958121</v>
      </c>
      <c r="P15" s="35" t="n">
        <v>348.939611</v>
      </c>
      <c r="Q15" s="35" t="n">
        <v>364.994298</v>
      </c>
      <c r="R15" s="36">
        <f>SUM(N15:Q15)</f>
        <v/>
      </c>
      <c r="S15" s="34" t="n">
        <v>372.112757</v>
      </c>
      <c r="T15" s="35" t="n">
        <v>386.895979</v>
      </c>
      <c r="U15" s="35" t="n">
        <v>404.262858</v>
      </c>
      <c r="V15" s="35" t="n">
        <v>420.831831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217.237</v>
      </c>
      <c r="E32" s="35" t="n">
        <v>234.986</v>
      </c>
      <c r="F32" s="35" t="n">
        <v>250.199</v>
      </c>
      <c r="G32" s="35" t="n">
        <v>261.22</v>
      </c>
      <c r="H32" s="36">
        <f>SUM(D32:G32)</f>
        <v/>
      </c>
      <c r="I32" s="34" t="n">
        <v>271.12</v>
      </c>
      <c r="J32" s="35" t="n">
        <v>282.285</v>
      </c>
      <c r="K32" s="35" t="n">
        <v>298.524</v>
      </c>
      <c r="L32" s="35" t="n">
        <v>314.819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211.588144</v>
      </c>
      <c r="E33" s="35" t="n">
        <v>230.02</v>
      </c>
      <c r="F33" s="35" t="n">
        <v>256.8</v>
      </c>
      <c r="G33" s="35" t="n">
        <v>256.8794</v>
      </c>
      <c r="H33" s="36">
        <f>SUM(D33:G33)</f>
        <v/>
      </c>
      <c r="I33" s="34" t="n">
        <v>264.39168</v>
      </c>
      <c r="J33" s="35" t="n">
        <v>292.70726</v>
      </c>
      <c r="K33" s="35" t="n">
        <v>308.04953</v>
      </c>
      <c r="L33" s="35" t="n">
        <v>308.034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3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3">
        <f>IFERROR((J32-J33)/J33,"-")</f>
        <v/>
      </c>
      <c r="K35" s="43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>
        <f>AVERAGE(I35,J35,K35,L35)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>
        <f>AVERAGE(D35,E35,F35,G35,I35,J35,K35,L35)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0.0026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B1:X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  <col width="10.5" customWidth="1" min="24" max="24"/>
  </cols>
  <sheetData>
    <row r="1">
      <c r="B1" s="1" t="inlineStr">
        <is>
          <t>ESTC: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0.0244</v>
      </c>
    </row>
    <row r="4">
      <c r="B4" s="9" t="inlineStr">
        <is>
          <t>Beat Window</t>
        </is>
      </c>
      <c r="C4" s="33" t="inlineStr">
        <is>
          <t>8Q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  <c r="X7" s="4" t="inlineStr">
        <is>
          <t>Q1-28E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  <c r="X8" s="7" t="n"/>
    </row>
    <row r="9">
      <c r="B9" s="3" t="inlineStr">
        <is>
          <t>Total Revenue</t>
        </is>
      </c>
      <c r="D9" s="34" t="n">
        <v>327.957</v>
      </c>
      <c r="E9" s="35" t="n">
        <v>334.999</v>
      </c>
      <c r="F9" s="35" t="n">
        <v>347.42</v>
      </c>
      <c r="G9" s="35" t="n">
        <v>365.361</v>
      </c>
      <c r="H9" s="36">
        <f>SUM(D9:G9)</f>
        <v/>
      </c>
      <c r="I9" s="34" t="n">
        <v>382.083</v>
      </c>
      <c r="J9" s="35" t="n">
        <v>388.432</v>
      </c>
      <c r="K9" s="35" t="n">
        <v>415.288</v>
      </c>
      <c r="L9" s="35" t="n">
        <v>423.481</v>
      </c>
      <c r="M9" s="36">
        <f>SUM(I9:L9)</f>
        <v/>
      </c>
      <c r="N9" s="34" t="n">
        <v>449.881</v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  <c r="X9" s="34">
        <f>V9+X13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  <c r="X10" s="22">
        <f>IFERROR((X9-S9)/S9,"-")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  <c r="X11" s="22">
        <f>IFERROR((X9-V9)/V9,"-")</f>
        <v/>
      </c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  <c r="X12" s="29">
        <f>X9-S9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29">
        <f>N9-L9</f>
        <v/>
      </c>
      <c r="O13" s="37" t="n">
        <v>7.505888</v>
      </c>
      <c r="P13" s="37" t="n">
        <v>15.303157</v>
      </c>
      <c r="Q13" s="37" t="n">
        <v>11.658027</v>
      </c>
      <c r="R13" s="8" t="n"/>
      <c r="S13" s="38" t="n">
        <v>22.128274</v>
      </c>
      <c r="T13" s="37" t="n">
        <v>9.326983</v>
      </c>
      <c r="U13" s="37" t="n">
        <v>18.904653</v>
      </c>
      <c r="V13" s="37" t="n">
        <v>15.377153</v>
      </c>
      <c r="W13" s="8" t="n"/>
      <c r="X13" s="38" t="n">
        <v>20.332685</v>
      </c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  <c r="X14" s="7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7" t="n"/>
      <c r="O15" s="35" t="n">
        <v>446.492472</v>
      </c>
      <c r="P15" s="35" t="n">
        <v>468.965866</v>
      </c>
      <c r="Q15" s="35" t="n">
        <v>482.519655</v>
      </c>
      <c r="R15" s="8" t="n"/>
      <c r="S15" s="34" t="n">
        <v>507.429715</v>
      </c>
      <c r="T15" s="35" t="n">
        <v>509.496644</v>
      </c>
      <c r="U15" s="35" t="n">
        <v>533.988032</v>
      </c>
      <c r="V15" s="35" t="n">
        <v>550.226674</v>
      </c>
      <c r="W15" s="36">
        <f>SUM(S15:V15)</f>
        <v/>
      </c>
      <c r="X15" s="34" t="n">
        <v>577.623079</v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7" t="n"/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8" t="n"/>
      <c r="X16" s="22">
        <f>IFERROR((X15-S15)/S15,"-")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  <c r="X17" s="22">
        <f>IFERROR((X15-V15)/V15,"-")</f>
        <v/>
      </c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7" t="n"/>
      <c r="T18" s="30">
        <f>T15-O15</f>
        <v/>
      </c>
      <c r="U18" s="30">
        <f>U15-P15</f>
        <v/>
      </c>
      <c r="V18" s="30">
        <f>V15-Q15</f>
        <v/>
      </c>
      <c r="W18" s="8" t="n"/>
      <c r="X18" s="29">
        <f>X15-S15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  <c r="X19" s="29">
        <f>X15-V15</f>
        <v/>
      </c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  <c r="X20" s="7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7" t="n"/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  <c r="X21" s="22">
        <f>IFERROR((X9-X15)/X15,"-")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  <c r="X22" s="7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P23" s="35">
        <f>P9/(1+$C$3)</f>
        <v/>
      </c>
      <c r="R23" s="8" t="n"/>
      <c r="S23" s="7" t="n"/>
      <c r="W23" s="8" t="n"/>
      <c r="X23" s="7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P24" s="14">
        <f>IFERROR((P23-K9)/K9,"-")</f>
        <v/>
      </c>
      <c r="R24" s="8" t="n"/>
      <c r="S24" s="7" t="n"/>
      <c r="W24" s="8" t="n"/>
      <c r="X24" s="7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P25" s="14">
        <f>IFERROR((P23-O9)/O9,"-")</f>
        <v/>
      </c>
      <c r="R25" s="8" t="n"/>
      <c r="S25" s="7" t="n"/>
      <c r="W25" s="8" t="n"/>
      <c r="X25" s="7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P26" s="30">
        <f>P23-K9</f>
        <v/>
      </c>
      <c r="R26" s="8" t="n"/>
      <c r="S26" s="7" t="n"/>
      <c r="W26" s="8" t="n"/>
      <c r="X26" s="7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P27" s="30">
        <f>P23-O9</f>
        <v/>
      </c>
      <c r="R27" s="8" t="n"/>
      <c r="S27" s="7" t="n"/>
      <c r="W27" s="8" t="n"/>
      <c r="X27" s="7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  <c r="X28" s="7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P29" s="14">
        <f>IFERROR((P23-P15)/P15,"-")</f>
        <v/>
      </c>
      <c r="R29" s="8" t="n"/>
      <c r="S29" s="7" t="n"/>
      <c r="W29" s="8" t="n"/>
      <c r="X29" s="7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  <c r="X30" s="7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  <c r="X31" s="7" t="n"/>
    </row>
    <row r="32">
      <c r="B32" s="3" t="inlineStr">
        <is>
          <t>Actual Revenue</t>
        </is>
      </c>
      <c r="D32" s="34" t="n">
        <v>327.957</v>
      </c>
      <c r="E32" s="35" t="n">
        <v>334.999</v>
      </c>
      <c r="F32" s="35" t="n">
        <v>347.42</v>
      </c>
      <c r="G32" s="35" t="n">
        <v>365.361</v>
      </c>
      <c r="H32" s="36">
        <f>SUM(D32:G32)</f>
        <v/>
      </c>
      <c r="I32" s="34" t="n">
        <v>382.083</v>
      </c>
      <c r="J32" s="35" t="n">
        <v>388.432</v>
      </c>
      <c r="K32" s="35" t="n">
        <v>415.288</v>
      </c>
      <c r="L32" s="35" t="n">
        <v>423.481</v>
      </c>
      <c r="M32" s="36">
        <f>SUM(I32:L32)</f>
        <v/>
      </c>
      <c r="N32" s="34" t="n">
        <v>449.881</v>
      </c>
      <c r="R32" s="8" t="n"/>
      <c r="S32" s="7" t="n"/>
      <c r="W32" s="8" t="n"/>
      <c r="X32" s="7" t="n"/>
    </row>
    <row r="33">
      <c r="B33" s="3" t="inlineStr">
        <is>
          <t>Consensus Revenue</t>
        </is>
      </c>
      <c r="D33" s="34" t="n">
        <v>323.14</v>
      </c>
      <c r="E33" s="35" t="n">
        <v>329.594949</v>
      </c>
      <c r="F33" s="35" t="n">
        <v>344.801955</v>
      </c>
      <c r="G33" s="35" t="n">
        <v>354.291792</v>
      </c>
      <c r="H33" s="36">
        <f>SUM(D33:G33)</f>
        <v/>
      </c>
      <c r="I33" s="34" t="n">
        <v>369.040473</v>
      </c>
      <c r="J33" s="35" t="n">
        <v>380.357076</v>
      </c>
      <c r="K33" s="35" t="n">
        <v>397.158182</v>
      </c>
      <c r="L33" s="35" t="n">
        <v>418.429718</v>
      </c>
      <c r="M33" s="36">
        <f>SUM(I33:L33)</f>
        <v/>
      </c>
      <c r="N33" s="34" t="n">
        <v>438.4494</v>
      </c>
      <c r="R33" s="8" t="n"/>
      <c r="S33" s="7" t="n"/>
      <c r="W33" s="8" t="n"/>
      <c r="X33" s="7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29">
        <f>N32-N33</f>
        <v/>
      </c>
      <c r="R34" s="8" t="n"/>
      <c r="S34" s="7" t="n"/>
      <c r="W34" s="8" t="n"/>
      <c r="X34" s="7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39">
        <f>IFERROR((N32-N33)/N33,"-")</f>
        <v/>
      </c>
      <c r="R35" s="8" t="n"/>
      <c r="S35" s="7" t="n"/>
      <c r="W35" s="8" t="n"/>
      <c r="X35" s="7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  <c r="X36" s="7" t="n"/>
    </row>
    <row r="37">
      <c r="B37" s="2" t="inlineStr">
        <is>
          <t xml:space="preserve">   Trailing 4Q Avg Beat</t>
        </is>
      </c>
      <c r="C37" s="41">
        <f>AVERAGE(J35,K35,L35,N35)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  <c r="X37" s="7" t="n"/>
    </row>
    <row r="38">
      <c r="B38" s="2" t="inlineStr">
        <is>
          <t xml:space="preserve">   Trailing 8Q Avg Beat</t>
        </is>
      </c>
      <c r="C38" s="41">
        <f>AVERAGE(E35,F35,G35,I35,J35,K35,L35,N35)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  <c r="X38" s="7" t="n"/>
    </row>
    <row r="39">
      <c r="B39" s="2" t="inlineStr">
        <is>
          <t xml:space="preserve">   Selected Beat Cadence</t>
        </is>
      </c>
      <c r="C39" s="42" t="n">
        <v>0.0244</v>
      </c>
      <c r="D39" s="7" t="n"/>
      <c r="H39" s="8" t="n"/>
      <c r="I39" s="7" t="n"/>
      <c r="M39" s="8" t="n"/>
      <c r="N39" s="7" t="n"/>
      <c r="R39" s="8" t="n"/>
      <c r="S39" s="7" t="n"/>
      <c r="W39" s="8" t="n"/>
      <c r="X39" s="7" t="n"/>
    </row>
  </sheetData>
  <conditionalFormatting sqref="D21:X21">
    <cfRule type="expression" priority="1" dxfId="0">
      <formula>D21&gt;0</formula>
    </cfRule>
    <cfRule type="expression" priority="2" dxfId="1">
      <formula>D21&lt;0</formula>
    </cfRule>
  </conditionalFormatting>
  <conditionalFormatting sqref="D29:X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FROG: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0.0386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100.311</v>
      </c>
      <c r="E9" s="35" t="n">
        <v>103.043</v>
      </c>
      <c r="F9" s="35" t="n">
        <v>109.056</v>
      </c>
      <c r="G9" s="35" t="n">
        <v>116.078</v>
      </c>
      <c r="H9" s="36">
        <f>SUM(D9:G9)</f>
        <v/>
      </c>
      <c r="I9" s="34" t="n">
        <v>122.407</v>
      </c>
      <c r="J9" s="35" t="n">
        <v>127.22</v>
      </c>
      <c r="K9" s="35" t="n">
        <v>136.907</v>
      </c>
      <c r="L9" s="35" t="n">
        <v>145.306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4.746253</v>
      </c>
      <c r="O13" s="37" t="n">
        <v>1.58046</v>
      </c>
      <c r="P13" s="37" t="n">
        <v>8.803656999999999</v>
      </c>
      <c r="Q13" s="37" t="n">
        <v>8.396705000000001</v>
      </c>
      <c r="R13" s="8" t="n"/>
      <c r="S13" s="38" t="n">
        <v>4.961953</v>
      </c>
      <c r="T13" s="37" t="n">
        <v>5.481892</v>
      </c>
      <c r="U13" s="37" t="n">
        <v>7.746276</v>
      </c>
      <c r="V13" s="37" t="n">
        <v>8.354964000000001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144.475499</v>
      </c>
      <c r="O15" s="35" t="n">
        <v>150.156225</v>
      </c>
      <c r="P15" s="35" t="n">
        <v>160.249442</v>
      </c>
      <c r="Q15" s="35" t="n">
        <v>168.460675</v>
      </c>
      <c r="R15" s="36">
        <f>SUM(N15:Q15)</f>
        <v/>
      </c>
      <c r="S15" s="34" t="n">
        <v>172.508938</v>
      </c>
      <c r="T15" s="35" t="n">
        <v>177.637129</v>
      </c>
      <c r="U15" s="35" t="n">
        <v>187.350045</v>
      </c>
      <c r="V15" s="35" t="n">
        <v>196.510271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100.311</v>
      </c>
      <c r="E32" s="35" t="n">
        <v>103.043</v>
      </c>
      <c r="F32" s="35" t="n">
        <v>109.056</v>
      </c>
      <c r="G32" s="35" t="n">
        <v>116.078</v>
      </c>
      <c r="H32" s="36">
        <f>SUM(D32:G32)</f>
        <v/>
      </c>
      <c r="I32" s="34" t="n">
        <v>122.407</v>
      </c>
      <c r="J32" s="35" t="n">
        <v>127.22</v>
      </c>
      <c r="K32" s="35" t="n">
        <v>136.907</v>
      </c>
      <c r="L32" s="35" t="n">
        <v>145.306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98.66</v>
      </c>
      <c r="E33" s="35" t="n">
        <v>103.58</v>
      </c>
      <c r="F33" s="35" t="n">
        <v>114.19</v>
      </c>
      <c r="G33" s="35" t="n">
        <v>114.23509</v>
      </c>
      <c r="H33" s="36">
        <f>SUM(D33:G33)</f>
        <v/>
      </c>
      <c r="I33" s="34" t="n">
        <v>117.41025</v>
      </c>
      <c r="J33" s="35" t="n">
        <v>128.15427</v>
      </c>
      <c r="K33" s="35" t="n">
        <v>128.345887</v>
      </c>
      <c r="L33" s="35" t="n">
        <v>138.0902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3">
        <f>IFERROR((E32-E33)/E33,"-")</f>
        <v/>
      </c>
      <c r="F35" s="43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3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>
        <f>AVERAGE(I35,J35,K35,L35)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>
        <f>AVERAGE(D35,E35,F35,G35,I35,J35,K35,L35)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0.0386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B1:X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  <col width="10.5" customWidth="1" min="24" max="24"/>
  </cols>
  <sheetData>
    <row r="1">
      <c r="B1" s="1" t="inlineStr">
        <is>
          <t>S: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-0.0052</v>
      </c>
    </row>
    <row r="4">
      <c r="B4" s="9" t="inlineStr">
        <is>
          <t>Beat Window</t>
        </is>
      </c>
      <c r="C4" s="33" t="inlineStr">
        <is>
          <t>8Q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  <c r="X7" s="4" t="inlineStr">
        <is>
          <t>Q1-28E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  <c r="X8" s="7" t="n"/>
    </row>
    <row r="9">
      <c r="B9" s="3" t="inlineStr">
        <is>
          <t>Total Revenue</t>
        </is>
      </c>
      <c r="D9" s="34" t="n">
        <v>174.175</v>
      </c>
      <c r="E9" s="35" t="n">
        <v>186.355</v>
      </c>
      <c r="F9" s="35" t="n">
        <v>198.937</v>
      </c>
      <c r="G9" s="35" t="n">
        <v>210.648</v>
      </c>
      <c r="H9" s="36">
        <f>SUM(D9:G9)</f>
        <v/>
      </c>
      <c r="I9" s="34" t="n">
        <v>225.521</v>
      </c>
      <c r="J9" s="35" t="n">
        <v>229.029</v>
      </c>
      <c r="K9" s="35" t="n">
        <v>242.183</v>
      </c>
      <c r="L9" s="35" t="n">
        <v>258.913</v>
      </c>
      <c r="M9" s="36">
        <f>SUM(I9:L9)</f>
        <v/>
      </c>
      <c r="N9" s="34" t="n">
        <v>271.153</v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  <c r="X9" s="34">
        <f>V9+X13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  <c r="X10" s="22">
        <f>IFERROR((X9-S9)/S9,"-")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  <c r="X11" s="22">
        <f>IFERROR((X9-V9)/V9,"-")</f>
        <v/>
      </c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  <c r="X12" s="29">
        <f>X9-S9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29">
        <f>N9-L9</f>
        <v/>
      </c>
      <c r="O13" s="37" t="n">
        <v>2.333943</v>
      </c>
      <c r="P13" s="37" t="n">
        <v>15.45346</v>
      </c>
      <c r="Q13" s="37" t="n">
        <v>15.373178</v>
      </c>
      <c r="R13" s="8" t="n"/>
      <c r="S13" s="38" t="n">
        <v>14.725478</v>
      </c>
      <c r="T13" s="37" t="n">
        <v>10.114104</v>
      </c>
      <c r="U13" s="37" t="n">
        <v>12.763934</v>
      </c>
      <c r="V13" s="37" t="n">
        <v>15.117965</v>
      </c>
      <c r="W13" s="8" t="n"/>
      <c r="X13" s="38" t="n">
        <v>15.84167</v>
      </c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  <c r="X14" s="7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7" t="n"/>
      <c r="O15" s="35" t="n">
        <v>274.916509</v>
      </c>
      <c r="P15" s="35" t="n">
        <v>290.706002</v>
      </c>
      <c r="Q15" s="35" t="n">
        <v>309.247274</v>
      </c>
      <c r="R15" s="8" t="n"/>
      <c r="S15" s="34" t="n">
        <v>323.177772</v>
      </c>
      <c r="T15" s="35" t="n">
        <v>329.211325</v>
      </c>
      <c r="U15" s="35" t="n">
        <v>341.83981</v>
      </c>
      <c r="V15" s="35" t="n">
        <v>360.219829</v>
      </c>
      <c r="W15" s="36">
        <f>SUM(S15:V15)</f>
        <v/>
      </c>
      <c r="X15" s="34" t="n">
        <v>377.7084</v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7" t="n"/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8" t="n"/>
      <c r="X16" s="22">
        <f>IFERROR((X15-S15)/S15,"-")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  <c r="X17" s="22">
        <f>IFERROR((X15-V15)/V15,"-")</f>
        <v/>
      </c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7" t="n"/>
      <c r="T18" s="30">
        <f>T15-O15</f>
        <v/>
      </c>
      <c r="U18" s="30">
        <f>U15-P15</f>
        <v/>
      </c>
      <c r="V18" s="30">
        <f>V15-Q15</f>
        <v/>
      </c>
      <c r="W18" s="8" t="n"/>
      <c r="X18" s="29">
        <f>X15-S15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  <c r="X19" s="29">
        <f>X15-V15</f>
        <v/>
      </c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  <c r="X20" s="7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7" t="n"/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  <c r="X21" s="22">
        <f>IFERROR((X9-X15)/X15,"-")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  <c r="X22" s="7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P23" s="35">
        <f>P9/(1+$C$3)</f>
        <v/>
      </c>
      <c r="R23" s="8" t="n"/>
      <c r="S23" s="7" t="n"/>
      <c r="W23" s="8" t="n"/>
      <c r="X23" s="7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P24" s="14">
        <f>IFERROR((P23-K9)/K9,"-")</f>
        <v/>
      </c>
      <c r="R24" s="8" t="n"/>
      <c r="S24" s="7" t="n"/>
      <c r="W24" s="8" t="n"/>
      <c r="X24" s="7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P25" s="14">
        <f>IFERROR((P23-O9)/O9,"-")</f>
        <v/>
      </c>
      <c r="R25" s="8" t="n"/>
      <c r="S25" s="7" t="n"/>
      <c r="W25" s="8" t="n"/>
      <c r="X25" s="7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P26" s="30">
        <f>P23-K9</f>
        <v/>
      </c>
      <c r="R26" s="8" t="n"/>
      <c r="S26" s="7" t="n"/>
      <c r="W26" s="8" t="n"/>
      <c r="X26" s="7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P27" s="30">
        <f>P23-O9</f>
        <v/>
      </c>
      <c r="R27" s="8" t="n"/>
      <c r="S27" s="7" t="n"/>
      <c r="W27" s="8" t="n"/>
      <c r="X27" s="7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  <c r="X28" s="7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P29" s="14">
        <f>IFERROR((P23-P15)/P15,"-")</f>
        <v/>
      </c>
      <c r="R29" s="8" t="n"/>
      <c r="S29" s="7" t="n"/>
      <c r="W29" s="8" t="n"/>
      <c r="X29" s="7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  <c r="X30" s="7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  <c r="X31" s="7" t="n"/>
    </row>
    <row r="32">
      <c r="B32" s="3" t="inlineStr">
        <is>
          <t>Actual Revenue</t>
        </is>
      </c>
      <c r="D32" s="34" t="n">
        <v>174.175</v>
      </c>
      <c r="E32" s="35" t="n">
        <v>186.355</v>
      </c>
      <c r="F32" s="35" t="n">
        <v>198.937</v>
      </c>
      <c r="G32" s="35" t="n">
        <v>210.648</v>
      </c>
      <c r="H32" s="36">
        <f>SUM(D32:G32)</f>
        <v/>
      </c>
      <c r="I32" s="34" t="n">
        <v>225.521</v>
      </c>
      <c r="J32" s="35" t="n">
        <v>229.029</v>
      </c>
      <c r="K32" s="35" t="n">
        <v>242.183</v>
      </c>
      <c r="L32" s="35" t="n">
        <v>258.913</v>
      </c>
      <c r="M32" s="36">
        <f>SUM(I32:L32)</f>
        <v/>
      </c>
      <c r="N32" s="34" t="n">
        <v>271.153</v>
      </c>
      <c r="R32" s="8" t="n"/>
      <c r="S32" s="7" t="n"/>
      <c r="W32" s="8" t="n"/>
      <c r="X32" s="7" t="n"/>
    </row>
    <row r="33">
      <c r="B33" s="3" t="inlineStr">
        <is>
          <t>Consensus Revenue</t>
        </is>
      </c>
      <c r="D33" s="34" t="n">
        <v>169.65</v>
      </c>
      <c r="E33" s="35" t="n">
        <v>181.106904</v>
      </c>
      <c r="F33" s="35" t="n">
        <v>197.315062</v>
      </c>
      <c r="G33" s="35" t="n">
        <v>209.748733</v>
      </c>
      <c r="H33" s="36">
        <f>SUM(D33:G33)</f>
        <v/>
      </c>
      <c r="I33" s="34" t="n">
        <v>235.46946</v>
      </c>
      <c r="J33" s="35" t="n">
        <v>228.360587</v>
      </c>
      <c r="K33" s="35" t="n">
        <v>256.1828</v>
      </c>
      <c r="L33" s="35" t="n">
        <v>256.157958</v>
      </c>
      <c r="M33" s="36">
        <f>SUM(I33:L33)</f>
        <v/>
      </c>
      <c r="N33" s="34" t="n">
        <v>271.1633</v>
      </c>
      <c r="R33" s="8" t="n"/>
      <c r="S33" s="7" t="n"/>
      <c r="W33" s="8" t="n"/>
      <c r="X33" s="7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29">
        <f>N32-N33</f>
        <v/>
      </c>
      <c r="R34" s="8" t="n"/>
      <c r="S34" s="7" t="n"/>
      <c r="W34" s="8" t="n"/>
      <c r="X34" s="7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44">
        <f>IFERROR((I32-I33)/I33,"-")</f>
        <v/>
      </c>
      <c r="J35" s="40">
        <f>IFERROR((J32-J33)/J33,"-")</f>
        <v/>
      </c>
      <c r="K35" s="43">
        <f>IFERROR((K32-K33)/K33,"-")</f>
        <v/>
      </c>
      <c r="L35" s="40">
        <f>IFERROR((L32-L33)/L33,"-")</f>
        <v/>
      </c>
      <c r="M35" s="23">
        <f>IFERROR((M32-M33)/M33,"-")</f>
        <v/>
      </c>
      <c r="N35" s="44">
        <f>IFERROR((N32-N33)/N33,"-")</f>
        <v/>
      </c>
      <c r="R35" s="8" t="n"/>
      <c r="S35" s="7" t="n"/>
      <c r="W35" s="8" t="n"/>
      <c r="X35" s="7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  <c r="X36" s="7" t="n"/>
    </row>
    <row r="37">
      <c r="B37" s="2" t="inlineStr">
        <is>
          <t xml:space="preserve">   Trailing 4Q Avg Beat</t>
        </is>
      </c>
      <c r="C37" s="41">
        <f>AVERAGE(J35,K35,L35,N35)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  <c r="X37" s="7" t="n"/>
    </row>
    <row r="38">
      <c r="B38" s="2" t="inlineStr">
        <is>
          <t xml:space="preserve">   Trailing 8Q Avg Beat</t>
        </is>
      </c>
      <c r="C38" s="41">
        <f>AVERAGE(E35,F35,G35,I35,J35,K35,L35,N35)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  <c r="X38" s="7" t="n"/>
    </row>
    <row r="39">
      <c r="B39" s="2" t="inlineStr">
        <is>
          <t xml:space="preserve">   Selected Beat Cadence</t>
        </is>
      </c>
      <c r="C39" s="42" t="n">
        <v>-0.0052</v>
      </c>
      <c r="D39" s="7" t="n"/>
      <c r="H39" s="8" t="n"/>
      <c r="I39" s="7" t="n"/>
      <c r="M39" s="8" t="n"/>
      <c r="N39" s="7" t="n"/>
      <c r="R39" s="8" t="n"/>
      <c r="S39" s="7" t="n"/>
      <c r="W39" s="8" t="n"/>
      <c r="X39" s="7" t="n"/>
    </row>
  </sheetData>
  <conditionalFormatting sqref="D21:X21">
    <cfRule type="expression" priority="1" dxfId="0">
      <formula>D21&gt;0</formula>
    </cfRule>
    <cfRule type="expression" priority="2" dxfId="1">
      <formula>D21&lt;0</formula>
    </cfRule>
  </conditionalFormatting>
  <conditionalFormatting sqref="D29:X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ZI: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0.0304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310.1</v>
      </c>
      <c r="E9" s="35" t="n">
        <v>291.5</v>
      </c>
      <c r="F9" s="35" t="n">
        <v>303.6</v>
      </c>
      <c r="G9" s="35" t="n">
        <v>309.1</v>
      </c>
      <c r="H9" s="36">
        <f>SUM(D9:G9)</f>
        <v/>
      </c>
      <c r="I9" s="34" t="n">
        <v>305.7</v>
      </c>
      <c r="J9" s="35" t="n">
        <v>306.7</v>
      </c>
      <c r="K9" s="35" t="n">
        <v>318</v>
      </c>
      <c r="L9" s="35" t="n">
        <v>319.1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-7.747261</v>
      </c>
      <c r="O13" s="37" t="n">
        <v>3.447734</v>
      </c>
      <c r="P13" s="37" t="n">
        <v>7.601562</v>
      </c>
      <c r="Q13" s="37" t="n">
        <v>1.503475</v>
      </c>
      <c r="R13" s="8" t="n"/>
      <c r="S13" s="38" t="n">
        <v>-1.847738</v>
      </c>
      <c r="T13" s="37" t="n">
        <v>-0.044813</v>
      </c>
      <c r="U13" s="37" t="n">
        <v>3.897607</v>
      </c>
      <c r="V13" s="37" t="n">
        <v>1.950446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302.166866</v>
      </c>
      <c r="O15" s="35" t="n">
        <v>304.184124</v>
      </c>
      <c r="P15" s="35" t="n">
        <v>308.913714</v>
      </c>
      <c r="Q15" s="35" t="n">
        <v>314.587312</v>
      </c>
      <c r="R15" s="36">
        <f>SUM(N15:Q15)</f>
        <v/>
      </c>
      <c r="S15" s="34" t="n">
        <v>315.531998</v>
      </c>
      <c r="T15" s="35" t="n">
        <v>320.020102</v>
      </c>
      <c r="U15" s="35" t="n">
        <v>331.327539</v>
      </c>
      <c r="V15" s="35" t="n">
        <v>340.612416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310.1</v>
      </c>
      <c r="E32" s="35" t="n">
        <v>291.5</v>
      </c>
      <c r="F32" s="35" t="n">
        <v>303.6</v>
      </c>
      <c r="G32" s="35" t="n">
        <v>309.1</v>
      </c>
      <c r="H32" s="36">
        <f>SUM(D32:G32)</f>
        <v/>
      </c>
      <c r="I32" s="34" t="n">
        <v>305.7</v>
      </c>
      <c r="J32" s="35" t="n">
        <v>306.7</v>
      </c>
      <c r="K32" s="35" t="n">
        <v>318</v>
      </c>
      <c r="L32" s="35" t="n">
        <v>319.1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308.75967</v>
      </c>
      <c r="E33" s="35" t="n">
        <v>299.38</v>
      </c>
      <c r="F33" s="35" t="n">
        <v>299.371248</v>
      </c>
      <c r="G33" s="35" t="n">
        <v>297.63938</v>
      </c>
      <c r="H33" s="36">
        <f>SUM(D33:G33)</f>
        <v/>
      </c>
      <c r="I33" s="34" t="n">
        <v>295.5189</v>
      </c>
      <c r="J33" s="35" t="n">
        <v>296.40214</v>
      </c>
      <c r="M33" s="8" t="n"/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M34" s="8" t="n"/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3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M35" s="8" t="n"/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>
        <f>AVERAGE(F35,G35,I35,J35)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>
        <f>AVERAGE(D35,E35,F35,G35,I35,J35)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0.0304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DT: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0.0194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380.848</v>
      </c>
      <c r="E9" s="35" t="n">
        <v>399.22</v>
      </c>
      <c r="F9" s="35" t="n">
        <v>418.129</v>
      </c>
      <c r="G9" s="35" t="n">
        <v>436.169</v>
      </c>
      <c r="H9" s="36">
        <f>SUM(D9:G9)</f>
        <v/>
      </c>
      <c r="I9" s="34" t="n">
        <v>445.165</v>
      </c>
      <c r="J9" s="35" t="n">
        <v>477.349</v>
      </c>
      <c r="K9" s="35" t="n">
        <v>493.849</v>
      </c>
      <c r="L9" s="35" t="n">
        <v>515.473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15.653638</v>
      </c>
      <c r="O13" s="37" t="n">
        <v>22.243337</v>
      </c>
      <c r="P13" s="37" t="n">
        <v>20.046652</v>
      </c>
      <c r="Q13" s="37" t="n">
        <v>21.027899</v>
      </c>
      <c r="R13" s="8" t="n"/>
      <c r="S13" s="38" t="n">
        <v>17.852993</v>
      </c>
      <c r="T13" s="37" t="n">
        <v>23.307844</v>
      </c>
      <c r="U13" s="37" t="n">
        <v>22.470621</v>
      </c>
      <c r="V13" s="37" t="n">
        <v>23.196665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521.018872</v>
      </c>
      <c r="O15" s="35" t="n">
        <v>547.961078</v>
      </c>
      <c r="P15" s="35" t="n">
        <v>566.898607</v>
      </c>
      <c r="Q15" s="35" t="n">
        <v>590.072679</v>
      </c>
      <c r="R15" s="36">
        <f>SUM(N15:Q15)</f>
        <v/>
      </c>
      <c r="S15" s="34" t="n">
        <v>600.45677</v>
      </c>
      <c r="T15" s="35" t="n">
        <v>626.503544</v>
      </c>
      <c r="U15" s="35" t="n">
        <v>646.429835</v>
      </c>
      <c r="V15" s="35" t="n">
        <v>670.1653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380.848</v>
      </c>
      <c r="E32" s="35" t="n">
        <v>399.22</v>
      </c>
      <c r="F32" s="35" t="n">
        <v>418.129</v>
      </c>
      <c r="G32" s="35" t="n">
        <v>436.169</v>
      </c>
      <c r="H32" s="36">
        <f>SUM(D32:G32)</f>
        <v/>
      </c>
      <c r="I32" s="34" t="n">
        <v>445.165</v>
      </c>
      <c r="J32" s="35" t="n">
        <v>477.349</v>
      </c>
      <c r="K32" s="35" t="n">
        <v>493.849</v>
      </c>
      <c r="L32" s="35" t="n">
        <v>515.473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375.275521</v>
      </c>
      <c r="E33" s="35" t="n">
        <v>392.215152</v>
      </c>
      <c r="F33" s="35" t="n">
        <v>406.172413</v>
      </c>
      <c r="G33" s="35" t="n">
        <v>435.25627</v>
      </c>
      <c r="H33" s="36">
        <f>SUM(D33:G33)</f>
        <v/>
      </c>
      <c r="I33" s="34" t="n">
        <v>434.764032</v>
      </c>
      <c r="J33" s="35" t="n">
        <v>467.528705</v>
      </c>
      <c r="K33" s="35" t="n">
        <v>487.336546</v>
      </c>
      <c r="L33" s="35" t="n">
        <v>505.8059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>
        <f>AVERAGE(I35,J35,K35,L35)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>
        <f>AVERAGE(D35,E35,F35,G35,I35,J35,K35,L35)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0.0194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TOST: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0.0156</v>
      </c>
    </row>
    <row r="4">
      <c r="B4" s="9" t="inlineStr">
        <is>
          <t>Beat Window</t>
        </is>
      </c>
      <c r="C4" s="33" t="inlineStr">
        <is>
          <t>8Q</t>
        </is>
      </c>
    </row>
    <row r="5">
      <c r="B5" s="9" t="inlineStr">
        <is>
          <t>Momentum</t>
        </is>
      </c>
      <c r="C5" s="33" t="inlineStr">
        <is>
          <t>DECELERATING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1075</v>
      </c>
      <c r="E9" s="35" t="n">
        <v>1242</v>
      </c>
      <c r="F9" s="35" t="n">
        <v>1305</v>
      </c>
      <c r="G9" s="35" t="n">
        <v>1338</v>
      </c>
      <c r="H9" s="36">
        <f>SUM(D9:G9)</f>
        <v/>
      </c>
      <c r="I9" s="34" t="n">
        <v>1337</v>
      </c>
      <c r="J9" s="35" t="n">
        <v>1550</v>
      </c>
      <c r="K9" s="35" t="n">
        <v>1633</v>
      </c>
      <c r="L9" s="35" t="n">
        <v>1633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-0.51729</v>
      </c>
      <c r="O13" s="37" t="n">
        <v>201.613989</v>
      </c>
      <c r="P13" s="37" t="n">
        <v>99.220764</v>
      </c>
      <c r="Q13" s="37" t="n">
        <v>45.911997</v>
      </c>
      <c r="R13" s="8" t="n"/>
      <c r="S13" s="38" t="n">
        <v>36.265308</v>
      </c>
      <c r="T13" s="37" t="n">
        <v>127.54088</v>
      </c>
      <c r="U13" s="37" t="n">
        <v>112.709875</v>
      </c>
      <c r="V13" s="37" t="n">
        <v>85.519575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1607.407158</v>
      </c>
      <c r="O15" s="35" t="n">
        <v>1863.486234</v>
      </c>
      <c r="P15" s="35" t="n">
        <v>1948.814458</v>
      </c>
      <c r="Q15" s="35" t="n">
        <v>1945.932828</v>
      </c>
      <c r="R15" s="36">
        <f>SUM(N15:Q15)</f>
        <v/>
      </c>
      <c r="S15" s="34" t="n">
        <v>1942.319703</v>
      </c>
      <c r="T15" s="35" t="n">
        <v>2221.782348</v>
      </c>
      <c r="U15" s="35" t="n">
        <v>2299.282859</v>
      </c>
      <c r="V15" s="35" t="n">
        <v>2291.026099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1075</v>
      </c>
      <c r="E32" s="35" t="n">
        <v>1242</v>
      </c>
      <c r="F32" s="35" t="n">
        <v>1305</v>
      </c>
      <c r="G32" s="35" t="n">
        <v>1338</v>
      </c>
      <c r="H32" s="36">
        <f>SUM(D32:G32)</f>
        <v/>
      </c>
      <c r="I32" s="34" t="n">
        <v>1337</v>
      </c>
      <c r="J32" s="35" t="n">
        <v>1550</v>
      </c>
      <c r="K32" s="35" t="n">
        <v>1633</v>
      </c>
      <c r="L32" s="35" t="n">
        <v>1633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1043.646546</v>
      </c>
      <c r="E33" s="35" t="n">
        <v>1221.121457</v>
      </c>
      <c r="F33" s="35" t="n">
        <v>1292.760757</v>
      </c>
      <c r="G33" s="35" t="n">
        <v>1313.860581</v>
      </c>
      <c r="H33" s="36">
        <f>SUM(D33:G33)</f>
        <v/>
      </c>
      <c r="I33" s="34" t="n">
        <v>1343.810665</v>
      </c>
      <c r="J33" s="35" t="n">
        <v>1524.98912</v>
      </c>
      <c r="K33" s="35" t="n">
        <v>1586.597545</v>
      </c>
      <c r="L33" s="35" t="n">
        <v>1618.432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44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>
        <f>AVERAGE(I35,J35,K35,L35)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>
        <f>AVERAGE(D35,E35,F35,G35,I35,J35,K35,L35)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0.0156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PCTY: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0.0216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401.281</v>
      </c>
      <c r="E9" s="35" t="n">
        <v>311.917</v>
      </c>
      <c r="F9" s="35" t="n">
        <v>317.586</v>
      </c>
      <c r="G9" s="35" t="n">
        <v>376.98</v>
      </c>
      <c r="H9" s="36">
        <f>SUM(D9:G9)</f>
        <v/>
      </c>
      <c r="I9" s="34" t="n">
        <v>454.548</v>
      </c>
      <c r="J9" s="35" t="n">
        <v>446.107</v>
      </c>
      <c r="K9" s="35" t="n">
        <v>408.172</v>
      </c>
      <c r="L9" s="35" t="n">
        <v>416.134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84.362396</v>
      </c>
      <c r="O13" s="37" t="n">
        <v>-30.541827</v>
      </c>
      <c r="P13" s="37" t="n">
        <v>-4.743309</v>
      </c>
      <c r="Q13" s="37" t="n">
        <v>11.080739</v>
      </c>
      <c r="R13" s="8" t="n"/>
      <c r="S13" s="38" t="n">
        <v>47.801982</v>
      </c>
      <c r="T13" s="37" t="n">
        <v>5.136688</v>
      </c>
      <c r="U13" s="37" t="n">
        <v>4.053365</v>
      </c>
      <c r="V13" s="37" t="n">
        <v>10.44543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489.914248</v>
      </c>
      <c r="O15" s="35" t="n">
        <v>424.197607</v>
      </c>
      <c r="P15" s="35" t="n">
        <v>435.951689</v>
      </c>
      <c r="Q15" s="35" t="n">
        <v>446.787989</v>
      </c>
      <c r="R15" s="36">
        <f>SUM(N15:Q15)</f>
        <v/>
      </c>
      <c r="S15" s="34" t="n">
        <v>532.125174</v>
      </c>
      <c r="T15" s="35" t="n">
        <v>463.299365</v>
      </c>
      <c r="U15" s="35" t="n">
        <v>485.328381</v>
      </c>
      <c r="V15" s="35" t="n">
        <v>491.346343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401.281</v>
      </c>
      <c r="E32" s="35" t="n">
        <v>311.917</v>
      </c>
      <c r="F32" s="35" t="n">
        <v>317.586</v>
      </c>
      <c r="G32" s="35" t="n">
        <v>376.98</v>
      </c>
      <c r="H32" s="36">
        <f>SUM(D32:G32)</f>
        <v/>
      </c>
      <c r="I32" s="34" t="n">
        <v>454.548</v>
      </c>
      <c r="J32" s="35" t="n">
        <v>446.107</v>
      </c>
      <c r="K32" s="35" t="n">
        <v>408.172</v>
      </c>
      <c r="L32" s="35" t="n">
        <v>416.134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397.18</v>
      </c>
      <c r="E33" s="35" t="n">
        <v>350.25</v>
      </c>
      <c r="F33" s="35" t="n">
        <v>358.340589</v>
      </c>
      <c r="G33" s="35" t="n">
        <v>366.86502</v>
      </c>
      <c r="H33" s="36">
        <f>SUM(D33:G33)</f>
        <v/>
      </c>
      <c r="I33" s="34" t="n">
        <v>441.71602</v>
      </c>
      <c r="J33" s="35" t="n">
        <v>393.09019</v>
      </c>
      <c r="K33" s="35" t="n">
        <v>400.458087</v>
      </c>
      <c r="L33" s="35" t="n">
        <v>408.5927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3">
        <f>IFERROR((E32-E33)/E33,"-")</f>
        <v/>
      </c>
      <c r="F35" s="43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>
        <f>AVERAGE(I35,J35,K35,L35)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>
        <f>AVERAGE(D35,E35,F35,G35,I35,J35,K35,L35)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0.0216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PAYC: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0.0095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ACCELERATING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499.9</v>
      </c>
      <c r="E9" s="35" t="n">
        <v>437.5</v>
      </c>
      <c r="F9" s="35" t="n">
        <v>451.934</v>
      </c>
      <c r="G9" s="35" t="n">
        <v>493.866</v>
      </c>
      <c r="H9" s="36">
        <f>SUM(D9:G9)</f>
        <v/>
      </c>
      <c r="I9" s="34" t="n">
        <v>530.5</v>
      </c>
      <c r="J9" s="35" t="n">
        <v>483.6</v>
      </c>
      <c r="K9" s="35" t="n">
        <v>493.3</v>
      </c>
      <c r="L9" s="35" t="n">
        <v>544.299999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26.763029</v>
      </c>
      <c r="O13" s="37" t="n">
        <v>-23.035041</v>
      </c>
      <c r="P13" s="37" t="n">
        <v>2.013025</v>
      </c>
      <c r="Q13" s="37" t="n">
        <v>34.386715</v>
      </c>
      <c r="R13" s="8" t="n"/>
      <c r="S13" s="38" t="n">
        <v>47.166088</v>
      </c>
      <c r="T13" s="37" t="n">
        <v>-9.355888999999999</v>
      </c>
      <c r="U13" s="37" t="n">
        <v>2.162969</v>
      </c>
      <c r="V13" s="37" t="n">
        <v>20.523058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565.688983</v>
      </c>
      <c r="O15" s="35" t="n">
        <v>515.678025</v>
      </c>
      <c r="P15" s="35" t="n">
        <v>529.765093</v>
      </c>
      <c r="Q15" s="35" t="n">
        <v>576.746995</v>
      </c>
      <c r="R15" s="36">
        <f>SUM(N15:Q15)</f>
        <v/>
      </c>
      <c r="S15" s="34" t="n">
        <v>609.318789</v>
      </c>
      <c r="T15" s="35" t="n">
        <v>555.869048</v>
      </c>
      <c r="U15" s="35" t="n">
        <v>565.823233</v>
      </c>
      <c r="V15" s="35" t="n">
        <v>618.324349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499.9</v>
      </c>
      <c r="E32" s="35" t="n">
        <v>437.5</v>
      </c>
      <c r="F32" s="35" t="n">
        <v>451.934</v>
      </c>
      <c r="G32" s="35" t="n">
        <v>493.866</v>
      </c>
      <c r="H32" s="36">
        <f>SUM(D32:G32)</f>
        <v/>
      </c>
      <c r="I32" s="34" t="n">
        <v>530.5</v>
      </c>
      <c r="J32" s="35" t="n">
        <v>483.6</v>
      </c>
      <c r="K32" s="35" t="n">
        <v>493.3</v>
      </c>
      <c r="L32" s="35" t="n">
        <v>544.299999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495.84</v>
      </c>
      <c r="E33" s="35" t="n">
        <v>436.43</v>
      </c>
      <c r="F33" s="35" t="n">
        <v>481.59</v>
      </c>
      <c r="G33" s="35" t="n">
        <v>481.13406</v>
      </c>
      <c r="H33" s="36">
        <f>SUM(D33:G33)</f>
        <v/>
      </c>
      <c r="I33" s="34" t="n">
        <v>525.031503</v>
      </c>
      <c r="J33" s="35" t="n">
        <v>472.02164</v>
      </c>
      <c r="K33" s="35" t="n">
        <v>492.887531</v>
      </c>
      <c r="L33" s="35" t="n">
        <v>543.0277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3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>
        <f>AVERAGE(I35,J35,K35,L35)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>
        <f>AVERAGE(D35,E35,F35,G35,I35,J35,K35,L35)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0.0095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B1:X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  <col width="10.5" customWidth="1" min="24" max="24"/>
  </cols>
  <sheetData>
    <row r="1">
      <c r="B1" s="1" t="inlineStr">
        <is>
          <t>GWRE: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0.0447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  <c r="X7" s="4" t="inlineStr">
        <is>
          <t>Q1-28E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  <c r="X8" s="7" t="n"/>
    </row>
    <row r="9">
      <c r="B9" s="3" t="inlineStr">
        <is>
          <t>Total Revenue</t>
        </is>
      </c>
      <c r="D9" s="34" t="n">
        <v>240.897</v>
      </c>
      <c r="E9" s="35" t="n">
        <v>240.678</v>
      </c>
      <c r="F9" s="35" t="n">
        <v>291.515</v>
      </c>
      <c r="G9" s="35" t="n">
        <v>262.901</v>
      </c>
      <c r="H9" s="36">
        <f>SUM(D9:G9)</f>
        <v/>
      </c>
      <c r="I9" s="34" t="n">
        <v>289.48</v>
      </c>
      <c r="J9" s="35" t="n">
        <v>293.508</v>
      </c>
      <c r="K9" s="35" t="n">
        <v>356.57</v>
      </c>
      <c r="L9" s="35" t="n">
        <v>332.639</v>
      </c>
      <c r="M9" s="36">
        <f>SUM(I9:L9)</f>
        <v/>
      </c>
      <c r="N9" s="34" t="n">
        <v>359.095</v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  <c r="X9" s="34">
        <f>V9+X13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  <c r="X10" s="22">
        <f>IFERROR((X9-S9)/S9,"-")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  <c r="X11" s="22">
        <f>IFERROR((X9-V9)/V9,"-")</f>
        <v/>
      </c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  <c r="X12" s="29">
        <f>X9-S9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29">
        <f>N9-L9</f>
        <v/>
      </c>
      <c r="O13" s="37" t="n">
        <v>12.804909</v>
      </c>
      <c r="P13" s="37" t="n">
        <v>46.415804</v>
      </c>
      <c r="Q13" s="37" t="n">
        <v>-6.724137</v>
      </c>
      <c r="R13" s="8" t="n"/>
      <c r="S13" s="38" t="n">
        <v>17.951154</v>
      </c>
      <c r="T13" s="37" t="n">
        <v>12.611705</v>
      </c>
      <c r="U13" s="37" t="n">
        <v>36.108381</v>
      </c>
      <c r="V13" s="37" t="n">
        <v>12.902317</v>
      </c>
      <c r="W13" s="8" t="n"/>
      <c r="X13" s="38" t="n">
        <v>19.818812</v>
      </c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  <c r="X14" s="7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7" t="n"/>
      <c r="O15" s="35" t="n">
        <v>355.987278</v>
      </c>
      <c r="P15" s="35" t="n">
        <v>397.536108</v>
      </c>
      <c r="Q15" s="35" t="n">
        <v>384.926836</v>
      </c>
      <c r="R15" s="8" t="n"/>
      <c r="S15" s="34" t="n">
        <v>408.608518</v>
      </c>
      <c r="T15" s="35" t="n">
        <v>413.24314</v>
      </c>
      <c r="U15" s="35" t="n">
        <v>458.79527</v>
      </c>
      <c r="V15" s="35" t="n">
        <v>442.325317</v>
      </c>
      <c r="W15" s="36">
        <f>SUM(S15:V15)</f>
        <v/>
      </c>
      <c r="X15" s="34" t="n">
        <v>465.977333</v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7" t="n"/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8" t="n"/>
      <c r="X16" s="22">
        <f>IFERROR((X15-S15)/S15,"-")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  <c r="X17" s="22">
        <f>IFERROR((X15-V15)/V15,"-")</f>
        <v/>
      </c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7" t="n"/>
      <c r="T18" s="30">
        <f>T15-O15</f>
        <v/>
      </c>
      <c r="U18" s="30">
        <f>U15-P15</f>
        <v/>
      </c>
      <c r="V18" s="30">
        <f>V15-Q15</f>
        <v/>
      </c>
      <c r="W18" s="8" t="n"/>
      <c r="X18" s="29">
        <f>X15-S15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  <c r="X19" s="29">
        <f>X15-V15</f>
        <v/>
      </c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  <c r="X20" s="7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7" t="n"/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  <c r="X21" s="22">
        <f>IFERROR((X9-X15)/X15,"-")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  <c r="X22" s="7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P23" s="35">
        <f>P9/(1+$C$3)</f>
        <v/>
      </c>
      <c r="R23" s="8" t="n"/>
      <c r="S23" s="7" t="n"/>
      <c r="W23" s="8" t="n"/>
      <c r="X23" s="7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P24" s="14">
        <f>IFERROR((P23-K9)/K9,"-")</f>
        <v/>
      </c>
      <c r="R24" s="8" t="n"/>
      <c r="S24" s="7" t="n"/>
      <c r="W24" s="8" t="n"/>
      <c r="X24" s="7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P25" s="14">
        <f>IFERROR((P23-O9)/O9,"-")</f>
        <v/>
      </c>
      <c r="R25" s="8" t="n"/>
      <c r="S25" s="7" t="n"/>
      <c r="W25" s="8" t="n"/>
      <c r="X25" s="7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P26" s="30">
        <f>P23-K9</f>
        <v/>
      </c>
      <c r="R26" s="8" t="n"/>
      <c r="S26" s="7" t="n"/>
      <c r="W26" s="8" t="n"/>
      <c r="X26" s="7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P27" s="30">
        <f>P23-O9</f>
        <v/>
      </c>
      <c r="R27" s="8" t="n"/>
      <c r="S27" s="7" t="n"/>
      <c r="W27" s="8" t="n"/>
      <c r="X27" s="7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  <c r="X28" s="7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P29" s="14">
        <f>IFERROR((P23-P15)/P15,"-")</f>
        <v/>
      </c>
      <c r="R29" s="8" t="n"/>
      <c r="S29" s="7" t="n"/>
      <c r="W29" s="8" t="n"/>
      <c r="X29" s="7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  <c r="X30" s="7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  <c r="X31" s="7" t="n"/>
    </row>
    <row r="32">
      <c r="B32" s="3" t="inlineStr">
        <is>
          <t>Actual Revenue</t>
        </is>
      </c>
      <c r="D32" s="34" t="n">
        <v>240.897</v>
      </c>
      <c r="E32" s="35" t="n">
        <v>240.678</v>
      </c>
      <c r="F32" s="35" t="n">
        <v>291.515</v>
      </c>
      <c r="G32" s="35" t="n">
        <v>262.901</v>
      </c>
      <c r="H32" s="36">
        <f>SUM(D32:G32)</f>
        <v/>
      </c>
      <c r="I32" s="34" t="n">
        <v>289.48</v>
      </c>
      <c r="J32" s="35" t="n">
        <v>293.508</v>
      </c>
      <c r="K32" s="35" t="n">
        <v>356.57</v>
      </c>
      <c r="L32" s="35" t="n">
        <v>332.639</v>
      </c>
      <c r="M32" s="36">
        <f>SUM(I32:L32)</f>
        <v/>
      </c>
      <c r="N32" s="34" t="n">
        <v>359.095</v>
      </c>
      <c r="R32" s="8" t="n"/>
      <c r="S32" s="7" t="n"/>
      <c r="W32" s="8" t="n"/>
      <c r="X32" s="7" t="n"/>
    </row>
    <row r="33">
      <c r="B33" s="3" t="inlineStr">
        <is>
          <t>Consensus Revenue</t>
        </is>
      </c>
      <c r="D33" s="34" t="n">
        <v>240.983967</v>
      </c>
      <c r="E33" s="35" t="n">
        <v>231.290355</v>
      </c>
      <c r="F33" s="35" t="n">
        <v>283.837695</v>
      </c>
      <c r="G33" s="35" t="n">
        <v>253.945059</v>
      </c>
      <c r="H33" s="36">
        <f>SUM(D33:G33)</f>
        <v/>
      </c>
      <c r="I33" s="34" t="n">
        <v>285.525344</v>
      </c>
      <c r="J33" s="35" t="n">
        <v>286.324172</v>
      </c>
      <c r="K33" s="35" t="n">
        <v>337.81558</v>
      </c>
      <c r="L33" s="35" t="n">
        <v>316.584201</v>
      </c>
      <c r="M33" s="36">
        <f>SUM(I33:L33)</f>
        <v/>
      </c>
      <c r="N33" s="34" t="n">
        <v>342.7931</v>
      </c>
      <c r="R33" s="8" t="n"/>
      <c r="S33" s="7" t="n"/>
      <c r="W33" s="8" t="n"/>
      <c r="X33" s="7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29">
        <f>N32-N33</f>
        <v/>
      </c>
      <c r="R34" s="8" t="n"/>
      <c r="S34" s="7" t="n"/>
      <c r="W34" s="8" t="n"/>
      <c r="X34" s="7" t="n"/>
    </row>
    <row r="35">
      <c r="B35" s="2" t="inlineStr">
        <is>
          <t xml:space="preserve">   Beat / Miss (%)</t>
        </is>
      </c>
      <c r="D35" s="44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39">
        <f>IFERROR((N32-N33)/N33,"-")</f>
        <v/>
      </c>
      <c r="R35" s="8" t="n"/>
      <c r="S35" s="7" t="n"/>
      <c r="W35" s="8" t="n"/>
      <c r="X35" s="7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  <c r="X36" s="7" t="n"/>
    </row>
    <row r="37">
      <c r="B37" s="2" t="inlineStr">
        <is>
          <t xml:space="preserve">   Trailing 4Q Avg Beat</t>
        </is>
      </c>
      <c r="C37" s="41">
        <f>AVERAGE(J35,K35,L35,N35)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  <c r="X37" s="7" t="n"/>
    </row>
    <row r="38">
      <c r="B38" s="2" t="inlineStr">
        <is>
          <t xml:space="preserve">   Trailing 8Q Avg Beat</t>
        </is>
      </c>
      <c r="C38" s="41">
        <f>AVERAGE(E35,F35,G35,I35,J35,K35,L35,N35)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  <c r="X38" s="7" t="n"/>
    </row>
    <row r="39">
      <c r="B39" s="2" t="inlineStr">
        <is>
          <t xml:space="preserve">   Selected Beat Cadence</t>
        </is>
      </c>
      <c r="C39" s="42" t="n">
        <v>0.0447</v>
      </c>
      <c r="D39" s="7" t="n"/>
      <c r="H39" s="8" t="n"/>
      <c r="I39" s="7" t="n"/>
      <c r="M39" s="8" t="n"/>
      <c r="N39" s="7" t="n"/>
      <c r="R39" s="8" t="n"/>
      <c r="S39" s="7" t="n"/>
      <c r="W39" s="8" t="n"/>
      <c r="X39" s="7" t="n"/>
    </row>
  </sheetData>
  <conditionalFormatting sqref="D21:X21">
    <cfRule type="expression" priority="1" dxfId="0">
      <formula>D21&gt;0</formula>
    </cfRule>
    <cfRule type="expression" priority="2" dxfId="1">
      <formula>D21&lt;0</formula>
    </cfRule>
  </conditionalFormatting>
  <conditionalFormatting sqref="D29:X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BSY: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0.0135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ACCELERATING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337.763</v>
      </c>
      <c r="E9" s="35" t="n">
        <v>330.337</v>
      </c>
      <c r="F9" s="35" t="n">
        <v>335.173</v>
      </c>
      <c r="G9" s="35" t="n">
        <v>349.822</v>
      </c>
      <c r="H9" s="36">
        <f>SUM(D9:G9)</f>
        <v/>
      </c>
      <c r="I9" s="34" t="n">
        <v>370.542</v>
      </c>
      <c r="J9" s="35" t="n">
        <v>364.106</v>
      </c>
      <c r="K9" s="35" t="n">
        <v>375.549</v>
      </c>
      <c r="L9" s="35" t="n">
        <v>391.582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32.950596</v>
      </c>
      <c r="O13" s="37" t="n">
        <v>-13.9344</v>
      </c>
      <c r="P13" s="37" t="n">
        <v>6.967923</v>
      </c>
      <c r="Q13" s="37" t="n">
        <v>12.827467</v>
      </c>
      <c r="R13" s="8" t="n"/>
      <c r="S13" s="38" t="n">
        <v>19.103021</v>
      </c>
      <c r="T13" s="37" t="n">
        <v>7.074389</v>
      </c>
      <c r="U13" s="37" t="n">
        <v>8.42947</v>
      </c>
      <c r="V13" s="37" t="n">
        <v>11.518817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418.877746</v>
      </c>
      <c r="O15" s="35" t="n">
        <v>411.602195</v>
      </c>
      <c r="P15" s="35" t="n">
        <v>423.162024</v>
      </c>
      <c r="Q15" s="35" t="n">
        <v>442.293341</v>
      </c>
      <c r="R15" s="36">
        <f>SUM(N15:Q15)</f>
        <v/>
      </c>
      <c r="S15" s="34" t="n">
        <v>466.43372</v>
      </c>
      <c r="T15" s="35" t="n">
        <v>454.011529</v>
      </c>
      <c r="U15" s="35" t="n">
        <v>466.015803</v>
      </c>
      <c r="V15" s="35" t="n">
        <v>486.346574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337.763</v>
      </c>
      <c r="E32" s="35" t="n">
        <v>330.337</v>
      </c>
      <c r="F32" s="35" t="n">
        <v>335.173</v>
      </c>
      <c r="G32" s="35" t="n">
        <v>349.822</v>
      </c>
      <c r="H32" s="36">
        <f>SUM(D32:G32)</f>
        <v/>
      </c>
      <c r="I32" s="34" t="n">
        <v>370.542</v>
      </c>
      <c r="J32" s="35" t="n">
        <v>364.106</v>
      </c>
      <c r="K32" s="35" t="n">
        <v>375.549</v>
      </c>
      <c r="L32" s="35" t="n">
        <v>391.582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340.092736</v>
      </c>
      <c r="E33" s="35" t="n">
        <v>325.075441</v>
      </c>
      <c r="F33" s="35" t="n">
        <v>340.358652</v>
      </c>
      <c r="G33" s="35" t="n">
        <v>350.370172</v>
      </c>
      <c r="H33" s="36">
        <f>SUM(D33:G33)</f>
        <v/>
      </c>
      <c r="I33" s="34" t="n">
        <v>366.29588</v>
      </c>
      <c r="J33" s="35" t="n">
        <v>363.631177</v>
      </c>
      <c r="K33" s="35" t="n">
        <v>369.801182</v>
      </c>
      <c r="L33" s="35" t="n">
        <v>381.7881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44">
        <f>IFERROR((D32-D33)/D33,"-")</f>
        <v/>
      </c>
      <c r="E35" s="40">
        <f>IFERROR((E32-E33)/E33,"-")</f>
        <v/>
      </c>
      <c r="F35" s="43">
        <f>IFERROR((F32-F33)/F33,"-")</f>
        <v/>
      </c>
      <c r="G35" s="43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>
        <f>AVERAGE(I35,J35,K35,L35)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>
        <f>AVERAGE(D35,E35,F35,G35,I35,J35,K35,L35)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0.0135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CWAN: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-0.0331</v>
      </c>
    </row>
    <row r="4">
      <c r="B4" s="9" t="inlineStr">
        <is>
          <t>Beat Window</t>
        </is>
      </c>
      <c r="C4" s="33" t="inlineStr">
        <is>
          <t>8Q</t>
        </is>
      </c>
    </row>
    <row r="5">
      <c r="B5" s="9" t="inlineStr">
        <is>
          <t>Momentum</t>
        </is>
      </c>
      <c r="C5" s="33" t="inlineStr">
        <is>
          <t>DECELERATING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102.719</v>
      </c>
      <c r="E9" s="35" t="n">
        <v>106.791</v>
      </c>
      <c r="F9" s="35" t="n">
        <v>115.828</v>
      </c>
      <c r="G9" s="35" t="n">
        <v>126.465</v>
      </c>
      <c r="H9" s="36">
        <f>SUM(D9:G9)</f>
        <v/>
      </c>
      <c r="I9" s="34" t="n">
        <v>126.864</v>
      </c>
      <c r="J9" s="35" t="n">
        <v>181.937</v>
      </c>
      <c r="K9" s="35" t="n">
        <v>205.11</v>
      </c>
      <c r="L9" s="35" t="n">
        <v>217.457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-59.111618</v>
      </c>
      <c r="O13" s="37" t="n">
        <v>67.13558</v>
      </c>
      <c r="P13" s="37" t="n">
        <v>29.443054</v>
      </c>
      <c r="Q13" s="37" t="n">
        <v>21.58548</v>
      </c>
      <c r="R13" s="8" t="n"/>
      <c r="S13" s="38" t="n">
        <v>-7.411511</v>
      </c>
      <c r="T13" s="37" t="n">
        <v>26.945996</v>
      </c>
      <c r="U13" s="37" t="n">
        <v>30.408071</v>
      </c>
      <c r="V13" s="37" t="n">
        <v>30.220783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163.766038</v>
      </c>
      <c r="O15" s="35" t="n">
        <v>234.858602</v>
      </c>
      <c r="P15" s="35" t="n">
        <v>240.831287</v>
      </c>
      <c r="Q15" s="35" t="n">
        <v>255.089701</v>
      </c>
      <c r="R15" s="36">
        <f>SUM(N15:Q15)</f>
        <v/>
      </c>
      <c r="S15" s="34" t="n">
        <v>246.60853</v>
      </c>
      <c r="T15" s="35" t="n">
        <v>269.92273</v>
      </c>
      <c r="U15" s="35" t="n">
        <v>291.457528</v>
      </c>
      <c r="V15" s="35" t="n">
        <v>310.67502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102.719</v>
      </c>
      <c r="E32" s="35" t="n">
        <v>106.791</v>
      </c>
      <c r="F32" s="35" t="n">
        <v>115.828</v>
      </c>
      <c r="G32" s="35" t="n">
        <v>126.465</v>
      </c>
      <c r="H32" s="36">
        <f>SUM(D32:G32)</f>
        <v/>
      </c>
      <c r="I32" s="34" t="n">
        <v>126.864</v>
      </c>
      <c r="J32" s="35" t="n">
        <v>181.937</v>
      </c>
      <c r="K32" s="35" t="n">
        <v>205.11</v>
      </c>
      <c r="L32" s="35" t="n">
        <v>217.457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105.52</v>
      </c>
      <c r="E33" s="35" t="n">
        <v>113.43</v>
      </c>
      <c r="F33" s="35" t="n">
        <v>120.42991</v>
      </c>
      <c r="G33" s="35" t="n">
        <v>125.10822</v>
      </c>
      <c r="H33" s="36">
        <f>SUM(D33:G33)</f>
        <v/>
      </c>
      <c r="I33" s="34" t="n">
        <v>125.11904</v>
      </c>
      <c r="J33" s="35" t="n">
        <v>205.9443</v>
      </c>
      <c r="K33" s="35" t="n">
        <v>216.70511</v>
      </c>
      <c r="L33" s="35" t="n">
        <v>216.7012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44">
        <f>IFERROR((D32-D33)/D33,"-")</f>
        <v/>
      </c>
      <c r="E35" s="43">
        <f>IFERROR((E32-E33)/E33,"-")</f>
        <v/>
      </c>
      <c r="F35" s="43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3">
        <f>IFERROR((J32-J33)/J33,"-")</f>
        <v/>
      </c>
      <c r="K35" s="43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>
        <f>AVERAGE(I35,J35,K35,L35)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>
        <f>AVERAGE(D35,E35,F35,G35,I35,J35,K35,L35)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-0.0331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B1:X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  <col width="10.5" customWidth="1" min="24" max="24"/>
  </cols>
  <sheetData>
    <row r="1">
      <c r="B1" s="1" t="inlineStr">
        <is>
          <t>NCNO: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0.0154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DECELERATING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  <c r="X7" s="4" t="inlineStr">
        <is>
          <t>Q1-28E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  <c r="X8" s="7" t="n"/>
    </row>
    <row r="9">
      <c r="B9" s="3" t="inlineStr">
        <is>
          <t>Total Revenue</t>
        </is>
      </c>
      <c r="D9" s="34" t="n">
        <v>123.693</v>
      </c>
      <c r="E9" s="35" t="n">
        <v>128.087</v>
      </c>
      <c r="F9" s="35" t="n">
        <v>132.403</v>
      </c>
      <c r="G9" s="35" t="n">
        <v>138.797</v>
      </c>
      <c r="H9" s="36">
        <f>SUM(D9:G9)</f>
        <v/>
      </c>
      <c r="I9" s="34" t="n">
        <v>141.37</v>
      </c>
      <c r="J9" s="35" t="n">
        <v>144.137</v>
      </c>
      <c r="K9" s="35" t="n">
        <v>148.815</v>
      </c>
      <c r="L9" s="35" t="n">
        <v>152.163</v>
      </c>
      <c r="M9" s="36">
        <f>SUM(I9:L9)</f>
        <v/>
      </c>
      <c r="N9" s="34" t="n">
        <v>149.666</v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  <c r="X9" s="34">
        <f>V9+X13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  <c r="X10" s="22">
        <f>IFERROR((X9-S9)/S9,"-")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  <c r="X11" s="22">
        <f>IFERROR((X9-V9)/V9,"-")</f>
        <v/>
      </c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  <c r="X12" s="29">
        <f>X9-S9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29">
        <f>N9-L9</f>
        <v/>
      </c>
      <c r="O13" s="37" t="n">
        <v>8.247112</v>
      </c>
      <c r="P13" s="37" t="n">
        <v>3.963737</v>
      </c>
      <c r="Q13" s="37" t="n">
        <v>4.228526</v>
      </c>
      <c r="R13" s="8" t="n"/>
      <c r="S13" s="38" t="n">
        <v>0.202966</v>
      </c>
      <c r="T13" s="37" t="n">
        <v>4.670006</v>
      </c>
      <c r="U13" s="37" t="n">
        <v>4.476837</v>
      </c>
      <c r="V13" s="37" t="n">
        <v>4.418017</v>
      </c>
      <c r="W13" s="8" t="n"/>
      <c r="X13" s="38" t="n">
        <v>2.307606</v>
      </c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  <c r="X14" s="7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7" t="n"/>
      <c r="O15" s="35" t="n">
        <v>155.518133</v>
      </c>
      <c r="P15" s="35" t="n">
        <v>160.565511</v>
      </c>
      <c r="Q15" s="35" t="n">
        <v>162.950324</v>
      </c>
      <c r="R15" s="8" t="n"/>
      <c r="S15" s="34" t="n">
        <v>163.626089</v>
      </c>
      <c r="T15" s="35" t="n">
        <v>168.619963</v>
      </c>
      <c r="U15" s="35" t="n">
        <v>172.682847</v>
      </c>
      <c r="V15" s="35" t="n">
        <v>177.226155</v>
      </c>
      <c r="W15" s="36">
        <f>SUM(S15:V15)</f>
        <v/>
      </c>
      <c r="X15" s="34" t="n">
        <v>178.261981</v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7" t="n"/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8" t="n"/>
      <c r="X16" s="22">
        <f>IFERROR((X15-S15)/S15,"-")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  <c r="X17" s="22">
        <f>IFERROR((X15-V15)/V15,"-")</f>
        <v/>
      </c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7" t="n"/>
      <c r="T18" s="30">
        <f>T15-O15</f>
        <v/>
      </c>
      <c r="U18" s="30">
        <f>U15-P15</f>
        <v/>
      </c>
      <c r="V18" s="30">
        <f>V15-Q15</f>
        <v/>
      </c>
      <c r="W18" s="8" t="n"/>
      <c r="X18" s="29">
        <f>X15-S15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  <c r="X19" s="29">
        <f>X15-V15</f>
        <v/>
      </c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  <c r="X20" s="7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7" t="n"/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  <c r="X21" s="22">
        <f>IFERROR((X9-X15)/X15,"-")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  <c r="X22" s="7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P23" s="35">
        <f>P9/(1+$C$3)</f>
        <v/>
      </c>
      <c r="R23" s="8" t="n"/>
      <c r="S23" s="7" t="n"/>
      <c r="W23" s="8" t="n"/>
      <c r="X23" s="7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P24" s="14">
        <f>IFERROR((P23-K9)/K9,"-")</f>
        <v/>
      </c>
      <c r="R24" s="8" t="n"/>
      <c r="S24" s="7" t="n"/>
      <c r="W24" s="8" t="n"/>
      <c r="X24" s="7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P25" s="14">
        <f>IFERROR((P23-O9)/O9,"-")</f>
        <v/>
      </c>
      <c r="R25" s="8" t="n"/>
      <c r="S25" s="7" t="n"/>
      <c r="W25" s="8" t="n"/>
      <c r="X25" s="7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P26" s="30">
        <f>P23-K9</f>
        <v/>
      </c>
      <c r="R26" s="8" t="n"/>
      <c r="S26" s="7" t="n"/>
      <c r="W26" s="8" t="n"/>
      <c r="X26" s="7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P27" s="30">
        <f>P23-O9</f>
        <v/>
      </c>
      <c r="R27" s="8" t="n"/>
      <c r="S27" s="7" t="n"/>
      <c r="W27" s="8" t="n"/>
      <c r="X27" s="7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  <c r="X28" s="7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P29" s="14">
        <f>IFERROR((P23-P15)/P15,"-")</f>
        <v/>
      </c>
      <c r="R29" s="8" t="n"/>
      <c r="S29" s="7" t="n"/>
      <c r="W29" s="8" t="n"/>
      <c r="X29" s="7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  <c r="X30" s="7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  <c r="X31" s="7" t="n"/>
    </row>
    <row r="32">
      <c r="B32" s="3" t="inlineStr">
        <is>
          <t>Actual Revenue</t>
        </is>
      </c>
      <c r="D32" s="34" t="n">
        <v>123.693</v>
      </c>
      <c r="E32" s="35" t="n">
        <v>128.087</v>
      </c>
      <c r="F32" s="35" t="n">
        <v>132.403</v>
      </c>
      <c r="G32" s="35" t="n">
        <v>138.797</v>
      </c>
      <c r="H32" s="36">
        <f>SUM(D32:G32)</f>
        <v/>
      </c>
      <c r="I32" s="34" t="n">
        <v>141.37</v>
      </c>
      <c r="J32" s="35" t="n">
        <v>144.137</v>
      </c>
      <c r="K32" s="35" t="n">
        <v>148.815</v>
      </c>
      <c r="L32" s="35" t="n">
        <v>152.163</v>
      </c>
      <c r="M32" s="36">
        <f>SUM(I32:L32)</f>
        <v/>
      </c>
      <c r="N32" s="34" t="n">
        <v>149.666</v>
      </c>
      <c r="R32" s="8" t="n"/>
      <c r="S32" s="7" t="n"/>
      <c r="W32" s="8" t="n"/>
      <c r="X32" s="7" t="n"/>
    </row>
    <row r="33">
      <c r="B33" s="3" t="inlineStr">
        <is>
          <t>Consensus Revenue</t>
        </is>
      </c>
      <c r="D33" s="34" t="n">
        <v>124.62</v>
      </c>
      <c r="E33" s="35" t="n">
        <v>126.647532</v>
      </c>
      <c r="F33" s="35" t="n">
        <v>137.43</v>
      </c>
      <c r="G33" s="35" t="n">
        <v>137.353919</v>
      </c>
      <c r="H33" s="36">
        <f>SUM(D33:G33)</f>
        <v/>
      </c>
      <c r="I33" s="34" t="n">
        <v>139.76926</v>
      </c>
      <c r="J33" s="35" t="n">
        <v>143.17836</v>
      </c>
      <c r="K33" s="35" t="n">
        <v>147.31169</v>
      </c>
      <c r="L33" s="35" t="n">
        <v>147.354248</v>
      </c>
      <c r="M33" s="36">
        <f>SUM(I33:L33)</f>
        <v/>
      </c>
      <c r="N33" s="34" t="n">
        <v>147.8721</v>
      </c>
      <c r="R33" s="8" t="n"/>
      <c r="S33" s="7" t="n"/>
      <c r="W33" s="8" t="n"/>
      <c r="X33" s="7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29">
        <f>N32-N33</f>
        <v/>
      </c>
      <c r="R34" s="8" t="n"/>
      <c r="S34" s="7" t="n"/>
      <c r="W34" s="8" t="n"/>
      <c r="X34" s="7" t="n"/>
    </row>
    <row r="35">
      <c r="B35" s="2" t="inlineStr">
        <is>
          <t xml:space="preserve">   Beat / Miss (%)</t>
        </is>
      </c>
      <c r="D35" s="44">
        <f>IFERROR((D32-D33)/D33,"-")</f>
        <v/>
      </c>
      <c r="E35" s="40">
        <f>IFERROR((E32-E33)/E33,"-")</f>
        <v/>
      </c>
      <c r="F35" s="43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39">
        <f>IFERROR((N32-N33)/N33,"-")</f>
        <v/>
      </c>
      <c r="R35" s="8" t="n"/>
      <c r="S35" s="7" t="n"/>
      <c r="W35" s="8" t="n"/>
      <c r="X35" s="7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  <c r="X36" s="7" t="n"/>
    </row>
    <row r="37">
      <c r="B37" s="2" t="inlineStr">
        <is>
          <t xml:space="preserve">   Trailing 4Q Avg Beat</t>
        </is>
      </c>
      <c r="C37" s="41">
        <f>AVERAGE(J35,K35,L35,N35)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  <c r="X37" s="7" t="n"/>
    </row>
    <row r="38">
      <c r="B38" s="2" t="inlineStr">
        <is>
          <t xml:space="preserve">   Trailing 8Q Avg Beat</t>
        </is>
      </c>
      <c r="C38" s="41">
        <f>AVERAGE(E35,F35,G35,I35,J35,K35,L35,N35)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  <c r="X38" s="7" t="n"/>
    </row>
    <row r="39">
      <c r="B39" s="2" t="inlineStr">
        <is>
          <t xml:space="preserve">   Selected Beat Cadence</t>
        </is>
      </c>
      <c r="C39" s="42" t="n">
        <v>0.0154</v>
      </c>
      <c r="D39" s="7" t="n"/>
      <c r="H39" s="8" t="n"/>
      <c r="I39" s="7" t="n"/>
      <c r="M39" s="8" t="n"/>
      <c r="N39" s="7" t="n"/>
      <c r="R39" s="8" t="n"/>
      <c r="S39" s="7" t="n"/>
      <c r="W39" s="8" t="n"/>
      <c r="X39" s="7" t="n"/>
    </row>
  </sheetData>
  <conditionalFormatting sqref="D21:X21">
    <cfRule type="expression" priority="1" dxfId="0">
      <formula>D21&gt;0</formula>
    </cfRule>
    <cfRule type="expression" priority="2" dxfId="1">
      <formula>D21&lt;0</formula>
    </cfRule>
  </conditionalFormatting>
  <conditionalFormatting sqref="D29:X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B1:X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  <col width="10.5" customWidth="1" min="24" max="24"/>
  </cols>
  <sheetData>
    <row r="1">
      <c r="B1" s="1" t="inlineStr">
        <is>
          <t>BRZE: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0.0227</v>
      </c>
    </row>
    <row r="4">
      <c r="B4" s="9" t="inlineStr">
        <is>
          <t>Beat Window</t>
        </is>
      </c>
      <c r="C4" s="33" t="inlineStr">
        <is>
          <t>8Q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  <c r="X7" s="4" t="inlineStr">
        <is>
          <t>Q1-28E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  <c r="X8" s="7" t="n"/>
    </row>
    <row r="9">
      <c r="B9" s="3" t="inlineStr">
        <is>
          <t>Total Revenue</t>
        </is>
      </c>
      <c r="D9" s="34" t="n">
        <v>130.957</v>
      </c>
      <c r="E9" s="35" t="n">
        <v>135.459</v>
      </c>
      <c r="F9" s="35" t="n">
        <v>145.499</v>
      </c>
      <c r="G9" s="35" t="n">
        <v>152.052</v>
      </c>
      <c r="H9" s="36">
        <f>SUM(D9:G9)</f>
        <v/>
      </c>
      <c r="I9" s="34" t="n">
        <v>160.4</v>
      </c>
      <c r="J9" s="35" t="n">
        <v>162.059</v>
      </c>
      <c r="K9" s="35" t="n">
        <v>180.111</v>
      </c>
      <c r="L9" s="35" t="n">
        <v>190.842</v>
      </c>
      <c r="M9" s="36">
        <f>SUM(I9:L9)</f>
        <v/>
      </c>
      <c r="N9" s="34" t="n">
        <v>205.17</v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  <c r="X9" s="34">
        <f>V9+X13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  <c r="X10" s="22">
        <f>IFERROR((X9-S9)/S9,"-")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  <c r="X11" s="22">
        <f>IFERROR((X9-V9)/V9,"-")</f>
        <v/>
      </c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  <c r="X12" s="29">
        <f>X9-S9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29">
        <f>N9-L9</f>
        <v/>
      </c>
      <c r="O13" s="37" t="n">
        <v>-5.89536</v>
      </c>
      <c r="P13" s="37" t="n">
        <v>14.786911</v>
      </c>
      <c r="Q13" s="37" t="n">
        <v>12.134634</v>
      </c>
      <c r="R13" s="8" t="n"/>
      <c r="S13" s="38" t="n">
        <v>13.515486</v>
      </c>
      <c r="T13" s="37" t="n">
        <v>2.591245</v>
      </c>
      <c r="U13" s="37" t="n">
        <v>11.252546</v>
      </c>
      <c r="V13" s="37" t="n">
        <v>11.996498</v>
      </c>
      <c r="W13" s="8" t="n"/>
      <c r="X13" s="38" t="n">
        <v>13.479821</v>
      </c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  <c r="X14" s="7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7" t="n"/>
      <c r="O15" s="35" t="n">
        <v>194.851511</v>
      </c>
      <c r="P15" s="35" t="n">
        <v>216.556319</v>
      </c>
      <c r="Q15" s="35" t="n">
        <v>226.513595</v>
      </c>
      <c r="R15" s="8" t="n"/>
      <c r="S15" s="34" t="n">
        <v>239.71103</v>
      </c>
      <c r="T15" s="35" t="n">
        <v>240.622887</v>
      </c>
      <c r="U15" s="35" t="n">
        <v>253.021736</v>
      </c>
      <c r="V15" s="35" t="n">
        <v>266.232225</v>
      </c>
      <c r="W15" s="36">
        <f>SUM(S15:V15)</f>
        <v/>
      </c>
      <c r="X15" s="34" t="n">
        <v>280.283821</v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7" t="n"/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8" t="n"/>
      <c r="X16" s="22">
        <f>IFERROR((X15-S15)/S15,"-")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  <c r="X17" s="22">
        <f>IFERROR((X15-V15)/V15,"-")</f>
        <v/>
      </c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7" t="n"/>
      <c r="T18" s="30">
        <f>T15-O15</f>
        <v/>
      </c>
      <c r="U18" s="30">
        <f>U15-P15</f>
        <v/>
      </c>
      <c r="V18" s="30">
        <f>V15-Q15</f>
        <v/>
      </c>
      <c r="W18" s="8" t="n"/>
      <c r="X18" s="29">
        <f>X15-S15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  <c r="X19" s="29">
        <f>X15-V15</f>
        <v/>
      </c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  <c r="X20" s="7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7" t="n"/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  <c r="X21" s="22">
        <f>IFERROR((X9-X15)/X15,"-")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  <c r="X22" s="7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P23" s="35">
        <f>P9/(1+$C$3)</f>
        <v/>
      </c>
      <c r="R23" s="8" t="n"/>
      <c r="S23" s="7" t="n"/>
      <c r="W23" s="8" t="n"/>
      <c r="X23" s="7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P24" s="14">
        <f>IFERROR((P23-K9)/K9,"-")</f>
        <v/>
      </c>
      <c r="R24" s="8" t="n"/>
      <c r="S24" s="7" t="n"/>
      <c r="W24" s="8" t="n"/>
      <c r="X24" s="7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P25" s="14">
        <f>IFERROR((P23-O9)/O9,"-")</f>
        <v/>
      </c>
      <c r="R25" s="8" t="n"/>
      <c r="S25" s="7" t="n"/>
      <c r="W25" s="8" t="n"/>
      <c r="X25" s="7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P26" s="30">
        <f>P23-K9</f>
        <v/>
      </c>
      <c r="R26" s="8" t="n"/>
      <c r="S26" s="7" t="n"/>
      <c r="W26" s="8" t="n"/>
      <c r="X26" s="7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P27" s="30">
        <f>P23-O9</f>
        <v/>
      </c>
      <c r="R27" s="8" t="n"/>
      <c r="S27" s="7" t="n"/>
      <c r="W27" s="8" t="n"/>
      <c r="X27" s="7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  <c r="X28" s="7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P29" s="14">
        <f>IFERROR((P23-P15)/P15,"-")</f>
        <v/>
      </c>
      <c r="R29" s="8" t="n"/>
      <c r="S29" s="7" t="n"/>
      <c r="W29" s="8" t="n"/>
      <c r="X29" s="7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  <c r="X30" s="7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  <c r="X31" s="7" t="n"/>
    </row>
    <row r="32">
      <c r="B32" s="3" t="inlineStr">
        <is>
          <t>Actual Revenue</t>
        </is>
      </c>
      <c r="D32" s="34" t="n">
        <v>130.957</v>
      </c>
      <c r="E32" s="35" t="n">
        <v>135.459</v>
      </c>
      <c r="F32" s="35" t="n">
        <v>145.499</v>
      </c>
      <c r="G32" s="35" t="n">
        <v>152.052</v>
      </c>
      <c r="H32" s="36">
        <f>SUM(D32:G32)</f>
        <v/>
      </c>
      <c r="I32" s="34" t="n">
        <v>160.4</v>
      </c>
      <c r="J32" s="35" t="n">
        <v>162.059</v>
      </c>
      <c r="K32" s="35" t="n">
        <v>180.111</v>
      </c>
      <c r="L32" s="35" t="n">
        <v>190.842</v>
      </c>
      <c r="M32" s="36">
        <f>SUM(I32:L32)</f>
        <v/>
      </c>
      <c r="N32" s="34" t="n">
        <v>205.17</v>
      </c>
      <c r="R32" s="8" t="n"/>
      <c r="S32" s="7" t="n"/>
      <c r="W32" s="8" t="n"/>
      <c r="X32" s="7" t="n"/>
    </row>
    <row r="33">
      <c r="B33" s="3" t="inlineStr">
        <is>
          <t>Consensus Revenue</t>
        </is>
      </c>
      <c r="D33" s="34" t="n">
        <v>124.86</v>
      </c>
      <c r="E33" s="35" t="n">
        <v>131.691949</v>
      </c>
      <c r="F33" s="35" t="n">
        <v>141.316569</v>
      </c>
      <c r="G33" s="35" t="n">
        <v>148.209335</v>
      </c>
      <c r="H33" s="36">
        <f>SUM(D33:G33)</f>
        <v/>
      </c>
      <c r="I33" s="34" t="n">
        <v>155.72947</v>
      </c>
      <c r="J33" s="35" t="n">
        <v>158.618203</v>
      </c>
      <c r="K33" s="35" t="n">
        <v>184.2343</v>
      </c>
      <c r="L33" s="35" t="n">
        <v>184.616085</v>
      </c>
      <c r="M33" s="36">
        <f>SUM(I33:L33)</f>
        <v/>
      </c>
      <c r="N33" s="34" t="n">
        <v>198.2444</v>
      </c>
      <c r="R33" s="8" t="n"/>
      <c r="S33" s="7" t="n"/>
      <c r="W33" s="8" t="n"/>
      <c r="X33" s="7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29">
        <f>N32-N33</f>
        <v/>
      </c>
      <c r="R34" s="8" t="n"/>
      <c r="S34" s="7" t="n"/>
      <c r="W34" s="8" t="n"/>
      <c r="X34" s="7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3">
        <f>IFERROR((K32-K33)/K33,"-")</f>
        <v/>
      </c>
      <c r="L35" s="40">
        <f>IFERROR((L32-L33)/L33,"-")</f>
        <v/>
      </c>
      <c r="M35" s="23">
        <f>IFERROR((M32-M33)/M33,"-")</f>
        <v/>
      </c>
      <c r="N35" s="39">
        <f>IFERROR((N32-N33)/N33,"-")</f>
        <v/>
      </c>
      <c r="R35" s="8" t="n"/>
      <c r="S35" s="7" t="n"/>
      <c r="W35" s="8" t="n"/>
      <c r="X35" s="7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  <c r="X36" s="7" t="n"/>
    </row>
    <row r="37">
      <c r="B37" s="2" t="inlineStr">
        <is>
          <t xml:space="preserve">   Trailing 4Q Avg Beat</t>
        </is>
      </c>
      <c r="C37" s="41">
        <f>AVERAGE(J35,K35,L35,N35)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  <c r="X37" s="7" t="n"/>
    </row>
    <row r="38">
      <c r="B38" s="2" t="inlineStr">
        <is>
          <t xml:space="preserve">   Trailing 8Q Avg Beat</t>
        </is>
      </c>
      <c r="C38" s="41">
        <f>AVERAGE(E35,F35,G35,I35,J35,K35,L35,N35)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  <c r="X38" s="7" t="n"/>
    </row>
    <row r="39">
      <c r="B39" s="2" t="inlineStr">
        <is>
          <t xml:space="preserve">   Selected Beat Cadence</t>
        </is>
      </c>
      <c r="C39" s="42" t="n">
        <v>0.0227</v>
      </c>
      <c r="D39" s="7" t="n"/>
      <c r="H39" s="8" t="n"/>
      <c r="I39" s="7" t="n"/>
      <c r="M39" s="8" t="n"/>
      <c r="N39" s="7" t="n"/>
      <c r="R39" s="8" t="n"/>
      <c r="S39" s="7" t="n"/>
      <c r="W39" s="8" t="n"/>
      <c r="X39" s="7" t="n"/>
    </row>
  </sheetData>
  <conditionalFormatting sqref="D21:X21">
    <cfRule type="expression" priority="1" dxfId="0">
      <formula>D21&gt;0</formula>
    </cfRule>
    <cfRule type="expression" priority="2" dxfId="1">
      <formula>D21&lt;0</formula>
    </cfRule>
  </conditionalFormatting>
  <conditionalFormatting sqref="D29:X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KVYO: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0.045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ACCELERATING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209.993</v>
      </c>
      <c r="E9" s="35" t="n">
        <v>222.213</v>
      </c>
      <c r="F9" s="35" t="n">
        <v>235.094</v>
      </c>
      <c r="G9" s="35" t="n">
        <v>270.164</v>
      </c>
      <c r="H9" s="36">
        <f>SUM(D9:G9)</f>
        <v/>
      </c>
      <c r="I9" s="34" t="n">
        <v>279.827</v>
      </c>
      <c r="J9" s="35" t="n">
        <v>293.117</v>
      </c>
      <c r="K9" s="35" t="n">
        <v>310.88</v>
      </c>
      <c r="L9" s="35" t="n">
        <v>350.195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6.902192</v>
      </c>
      <c r="O13" s="37" t="n">
        <v>10.99882</v>
      </c>
      <c r="P13" s="37" t="n">
        <v>18.883896</v>
      </c>
      <c r="Q13" s="37" t="n">
        <v>33.108</v>
      </c>
      <c r="R13" s="8" t="n"/>
      <c r="S13" s="38" t="n">
        <v>17.642567</v>
      </c>
      <c r="T13" s="37" t="n">
        <v>18.319417</v>
      </c>
      <c r="U13" s="37" t="n">
        <v>20.922216</v>
      </c>
      <c r="V13" s="37" t="n">
        <v>29.641373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341.719801</v>
      </c>
      <c r="O15" s="35" t="n">
        <v>357.949315</v>
      </c>
      <c r="P15" s="35" t="n">
        <v>378.53571</v>
      </c>
      <c r="Q15" s="35" t="n">
        <v>419.744329</v>
      </c>
      <c r="R15" s="36">
        <f>SUM(N15:Q15)</f>
        <v/>
      </c>
      <c r="S15" s="34" t="n">
        <v>417.51252</v>
      </c>
      <c r="T15" s="35" t="n">
        <v>430.146753</v>
      </c>
      <c r="U15" s="35" t="n">
        <v>451.869173</v>
      </c>
      <c r="V15" s="35" t="n">
        <v>495.098267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209.993</v>
      </c>
      <c r="E32" s="35" t="n">
        <v>222.213</v>
      </c>
      <c r="F32" s="35" t="n">
        <v>235.094</v>
      </c>
      <c r="G32" s="35" t="n">
        <v>270.164</v>
      </c>
      <c r="H32" s="36">
        <f>SUM(D32:G32)</f>
        <v/>
      </c>
      <c r="I32" s="34" t="n">
        <v>279.827</v>
      </c>
      <c r="J32" s="35" t="n">
        <v>293.117</v>
      </c>
      <c r="K32" s="35" t="n">
        <v>310.88</v>
      </c>
      <c r="L32" s="35" t="n">
        <v>350.195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202.078859</v>
      </c>
      <c r="E33" s="35" t="n">
        <v>212.31</v>
      </c>
      <c r="F33" s="35" t="n">
        <v>226.34</v>
      </c>
      <c r="G33" s="35" t="n">
        <v>264.70038</v>
      </c>
      <c r="H33" s="36">
        <f>SUM(D33:G33)</f>
        <v/>
      </c>
      <c r="I33" s="34" t="n">
        <v>267.90974</v>
      </c>
      <c r="J33" s="35" t="n">
        <v>278.67141</v>
      </c>
      <c r="K33" s="35" t="n">
        <v>300.378555</v>
      </c>
      <c r="L33" s="35" t="n">
        <v>333.9808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>
        <f>AVERAGE(I35,J35,K35,L35)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>
        <f>AVERAGE(D35,E35,F35,G35,I35,J35,K35,L35)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0.045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PCOR: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0.0174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269.428</v>
      </c>
      <c r="E9" s="35" t="n">
        <v>284.347</v>
      </c>
      <c r="F9" s="35" t="n">
        <v>295.885</v>
      </c>
      <c r="G9" s="35" t="n">
        <v>302.048</v>
      </c>
      <c r="H9" s="36">
        <f>SUM(D9:G9)</f>
        <v/>
      </c>
      <c r="I9" s="34" t="n">
        <v>310.632</v>
      </c>
      <c r="J9" s="35" t="n">
        <v>323.919</v>
      </c>
      <c r="K9" s="35" t="n">
        <v>338.851</v>
      </c>
      <c r="L9" s="35" t="n">
        <v>349.107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8.296022000000001</v>
      </c>
      <c r="O13" s="37" t="n">
        <v>11.017119</v>
      </c>
      <c r="P13" s="37" t="n">
        <v>14.804355</v>
      </c>
      <c r="Q13" s="37" t="n">
        <v>11.105697</v>
      </c>
      <c r="R13" s="8" t="n"/>
      <c r="S13" s="38" t="n">
        <v>9.777798000000001</v>
      </c>
      <c r="T13" s="37" t="n">
        <v>12.14344</v>
      </c>
      <c r="U13" s="37" t="n">
        <v>14.048819</v>
      </c>
      <c r="V13" s="37" t="n">
        <v>12.920104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351.290566</v>
      </c>
      <c r="O15" s="35" t="n">
        <v>366.316699</v>
      </c>
      <c r="P15" s="35" t="n">
        <v>382.073625</v>
      </c>
      <c r="Q15" s="35" t="n">
        <v>392.681478</v>
      </c>
      <c r="R15" s="36">
        <f>SUM(N15:Q15)</f>
        <v/>
      </c>
      <c r="S15" s="34" t="n">
        <v>399.222301</v>
      </c>
      <c r="T15" s="35" t="n">
        <v>413.549544</v>
      </c>
      <c r="U15" s="35" t="n">
        <v>430.404793</v>
      </c>
      <c r="V15" s="35" t="n">
        <v>442.299091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269.428</v>
      </c>
      <c r="E32" s="35" t="n">
        <v>284.347</v>
      </c>
      <c r="F32" s="35" t="n">
        <v>295.885</v>
      </c>
      <c r="G32" s="35" t="n">
        <v>302.048</v>
      </c>
      <c r="H32" s="36">
        <f>SUM(D32:G32)</f>
        <v/>
      </c>
      <c r="I32" s="34" t="n">
        <v>310.632</v>
      </c>
      <c r="J32" s="35" t="n">
        <v>323.919</v>
      </c>
      <c r="K32" s="35" t="n">
        <v>338.851</v>
      </c>
      <c r="L32" s="35" t="n">
        <v>349.107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275.25</v>
      </c>
      <c r="E33" s="35" t="n">
        <v>287.55</v>
      </c>
      <c r="F33" s="35" t="n">
        <v>297.36</v>
      </c>
      <c r="G33" s="35" t="n">
        <v>297.41301</v>
      </c>
      <c r="H33" s="36">
        <f>SUM(D33:G33)</f>
        <v/>
      </c>
      <c r="I33" s="34" t="n">
        <v>302.63971</v>
      </c>
      <c r="J33" s="35" t="n">
        <v>328.32927</v>
      </c>
      <c r="K33" s="35" t="n">
        <v>328.278103</v>
      </c>
      <c r="L33" s="35" t="n">
        <v>340.8039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44">
        <f>IFERROR((D32-D33)/D33,"-")</f>
        <v/>
      </c>
      <c r="E35" s="43">
        <f>IFERROR((E32-E33)/E33,"-")</f>
        <v/>
      </c>
      <c r="F35" s="43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3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>
        <f>AVERAGE(I35,J35,K35,L35)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>
        <f>AVERAGE(D35,E35,F35,G35,I35,J35,K35,L35)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0.0174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SPSC: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-0.0004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149.576</v>
      </c>
      <c r="E9" s="35" t="n">
        <v>153.596</v>
      </c>
      <c r="F9" s="35" t="n">
        <v>163.686</v>
      </c>
      <c r="G9" s="35" t="n">
        <v>170.907</v>
      </c>
      <c r="H9" s="36">
        <f>SUM(D9:G9)</f>
        <v/>
      </c>
      <c r="I9" s="34" t="n">
        <v>181.549</v>
      </c>
      <c r="J9" s="35" t="n">
        <v>187.4</v>
      </c>
      <c r="K9" s="35" t="n">
        <v>189.904</v>
      </c>
      <c r="L9" s="35" t="n">
        <v>192.652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-0.018282</v>
      </c>
      <c r="O13" s="37" t="n">
        <v>15.504179</v>
      </c>
      <c r="P13" s="37" t="n">
        <v>7.832819</v>
      </c>
      <c r="Q13" s="37" t="n">
        <v>7.536225</v>
      </c>
      <c r="R13" s="8" t="n"/>
      <c r="S13" s="38" t="n">
        <v>6.008097</v>
      </c>
      <c r="T13" s="37" t="n">
        <v>6.722986</v>
      </c>
      <c r="U13" s="37" t="n">
        <v>7.614584</v>
      </c>
      <c r="V13" s="37" t="n">
        <v>7.827287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192.710802</v>
      </c>
      <c r="O15" s="35" t="n">
        <v>198.439403</v>
      </c>
      <c r="P15" s="35" t="n">
        <v>202.477244</v>
      </c>
      <c r="Q15" s="35" t="n">
        <v>208.567485</v>
      </c>
      <c r="R15" s="36">
        <f>SUM(N15:Q15)</f>
        <v/>
      </c>
      <c r="S15" s="34" t="n">
        <v>207.306667</v>
      </c>
      <c r="T15" s="35" t="n">
        <v>212.373167</v>
      </c>
      <c r="U15" s="35" t="n">
        <v>216.3945</v>
      </c>
      <c r="V15" s="35" t="n">
        <v>224.111667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149.576</v>
      </c>
      <c r="E32" s="35" t="n">
        <v>153.596</v>
      </c>
      <c r="F32" s="35" t="n">
        <v>163.686</v>
      </c>
      <c r="G32" s="35" t="n">
        <v>170.907</v>
      </c>
      <c r="H32" s="36">
        <f>SUM(D32:G32)</f>
        <v/>
      </c>
      <c r="I32" s="34" t="n">
        <v>181.549</v>
      </c>
      <c r="J32" s="35" t="n">
        <v>187.4</v>
      </c>
      <c r="K32" s="35" t="n">
        <v>189.904</v>
      </c>
      <c r="L32" s="35" t="n">
        <v>192.652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146.56</v>
      </c>
      <c r="E33" s="35" t="n">
        <v>151.92</v>
      </c>
      <c r="F33" s="35" t="n">
        <v>169.29</v>
      </c>
      <c r="G33" s="35" t="n">
        <v>169.29151</v>
      </c>
      <c r="H33" s="36">
        <f>SUM(D33:G33)</f>
        <v/>
      </c>
      <c r="I33" s="34" t="n">
        <v>179.02009</v>
      </c>
      <c r="J33" s="35" t="n">
        <v>185.82585</v>
      </c>
      <c r="K33" s="35" t="n">
        <v>193.60182</v>
      </c>
      <c r="L33" s="35" t="n">
        <v>193.5971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3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3">
        <f>IFERROR((K32-K33)/K33,"-")</f>
        <v/>
      </c>
      <c r="L35" s="43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>
        <f>AVERAGE(I35,J35,K35,L35)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>
        <f>AVERAGE(D35,E35,F35,G35,I35,J35,K35,L35)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-0.0004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MANH: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0.0234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DECELERATING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254.552</v>
      </c>
      <c r="E9" s="35" t="n">
        <v>265.317999</v>
      </c>
      <c r="F9" s="35" t="n">
        <v>266.680999</v>
      </c>
      <c r="G9" s="35" t="n">
        <v>255.801002</v>
      </c>
      <c r="H9" s="36">
        <f>SUM(D9:G9)</f>
        <v/>
      </c>
      <c r="I9" s="34" t="n">
        <v>262.787</v>
      </c>
      <c r="J9" s="35" t="n">
        <v>272.421</v>
      </c>
      <c r="K9" s="35" t="n">
        <v>275.795</v>
      </c>
      <c r="L9" s="35" t="n">
        <v>270.389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9.720298</v>
      </c>
      <c r="O13" s="37" t="n">
        <v>4.474355</v>
      </c>
      <c r="P13" s="37" t="n">
        <v>4.135369</v>
      </c>
      <c r="Q13" s="37" t="n">
        <v>-3.410424</v>
      </c>
      <c r="R13" s="8" t="n"/>
      <c r="S13" s="38" t="n">
        <v>3.922099</v>
      </c>
      <c r="T13" s="37" t="n">
        <v>6.030951</v>
      </c>
      <c r="U13" s="37" t="n">
        <v>4.894587</v>
      </c>
      <c r="V13" s="37" t="n">
        <v>0.705446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273.70461</v>
      </c>
      <c r="O15" s="35" t="n">
        <v>288.252693</v>
      </c>
      <c r="P15" s="35" t="n">
        <v>296.069327</v>
      </c>
      <c r="Q15" s="35" t="n">
        <v>287.637662</v>
      </c>
      <c r="R15" s="36">
        <f>SUM(N15:Q15)</f>
        <v/>
      </c>
      <c r="S15" s="34" t="n">
        <v>297.07965</v>
      </c>
      <c r="T15" s="35" t="n">
        <v>313.145</v>
      </c>
      <c r="U15" s="35" t="n">
        <v>322.882817</v>
      </c>
      <c r="V15" s="35" t="n">
        <v>319.287067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254.552</v>
      </c>
      <c r="E32" s="35" t="n">
        <v>265.317999</v>
      </c>
      <c r="F32" s="35" t="n">
        <v>266.680999</v>
      </c>
      <c r="G32" s="35" t="n">
        <v>255.801002</v>
      </c>
      <c r="H32" s="36">
        <f>SUM(D32:G32)</f>
        <v/>
      </c>
      <c r="I32" s="34" t="n">
        <v>262.787</v>
      </c>
      <c r="J32" s="35" t="n">
        <v>272.421</v>
      </c>
      <c r="K32" s="35" t="n">
        <v>275.795</v>
      </c>
      <c r="L32" s="35" t="n">
        <v>270.389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243.413231</v>
      </c>
      <c r="E33" s="35" t="n">
        <v>255.825001</v>
      </c>
      <c r="F33" s="35" t="n">
        <v>262.897355</v>
      </c>
      <c r="G33" s="35" t="n">
        <v>253.06055</v>
      </c>
      <c r="H33" s="36">
        <f>SUM(D33:G33)</f>
        <v/>
      </c>
      <c r="I33" s="34" t="n">
        <v>256.509182</v>
      </c>
      <c r="J33" s="35" t="n">
        <v>263.721459</v>
      </c>
      <c r="K33" s="35" t="n">
        <v>271.781368</v>
      </c>
      <c r="L33" s="35" t="n">
        <v>264.7263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>
        <f>AVERAGE(I35,J35,K35,L35)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>
        <f>AVERAGE(D35,E35,F35,G35,I35,J35,K35,L35)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0.0234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B1:AB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1.5" customWidth="1" min="28" max="28"/>
  </cols>
  <sheetData>
    <row r="1">
      <c r="B1" s="1" t="inlineStr">
        <is>
          <t>AZPN: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0.008699999999999999</v>
      </c>
    </row>
    <row r="4">
      <c r="B4" s="9" t="inlineStr">
        <is>
          <t>Beat Window</t>
        </is>
      </c>
      <c r="C4" s="33" t="inlineStr">
        <is>
          <t>8Q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Q1-23</t>
        </is>
      </c>
      <c r="E7" s="5" t="inlineStr">
        <is>
          <t>Q2-23</t>
        </is>
      </c>
      <c r="F7" s="5" t="inlineStr">
        <is>
          <t>Q3-23</t>
        </is>
      </c>
      <c r="G7" s="5" t="inlineStr">
        <is>
          <t>Q4-23</t>
        </is>
      </c>
      <c r="H7" s="6" t="inlineStr">
        <is>
          <t>FY23</t>
        </is>
      </c>
      <c r="I7" s="4" t="inlineStr">
        <is>
          <t>Q1-24</t>
        </is>
      </c>
      <c r="J7" s="5" t="inlineStr">
        <is>
          <t>Q2-24</t>
        </is>
      </c>
      <c r="K7" s="5" t="inlineStr">
        <is>
          <t>Q3-24</t>
        </is>
      </c>
      <c r="L7" s="5" t="inlineStr">
        <is>
          <t>Q4-24</t>
        </is>
      </c>
      <c r="M7" s="6" t="inlineStr">
        <is>
          <t>FY24</t>
        </is>
      </c>
      <c r="N7" s="4" t="inlineStr">
        <is>
          <t>Q1-25E</t>
        </is>
      </c>
      <c r="O7" s="5" t="inlineStr">
        <is>
          <t>Q2-25E</t>
        </is>
      </c>
      <c r="P7" s="5" t="inlineStr">
        <is>
          <t>Q3-25E</t>
        </is>
      </c>
      <c r="Q7" s="5" t="inlineStr">
        <is>
          <t>Q4-25E</t>
        </is>
      </c>
      <c r="R7" s="6" t="inlineStr">
        <is>
          <t>FY25E</t>
        </is>
      </c>
      <c r="S7" s="4" t="inlineStr">
        <is>
          <t>Q1-26E</t>
        </is>
      </c>
      <c r="T7" s="5" t="inlineStr">
        <is>
          <t>Q2-26E</t>
        </is>
      </c>
      <c r="U7" s="5" t="inlineStr">
        <is>
          <t>Q3-26E</t>
        </is>
      </c>
      <c r="V7" s="5" t="inlineStr">
        <is>
          <t>Q4-26E</t>
        </is>
      </c>
      <c r="W7" s="6" t="inlineStr">
        <is>
          <t>FY26E</t>
        </is>
      </c>
      <c r="X7" s="4" t="inlineStr">
        <is>
          <t>Q1-27E</t>
        </is>
      </c>
      <c r="Y7" s="5" t="inlineStr">
        <is>
          <t>Q2-27E</t>
        </is>
      </c>
      <c r="Z7" s="5" t="inlineStr">
        <is>
          <t>Q3-27E</t>
        </is>
      </c>
      <c r="AA7" s="5" t="inlineStr">
        <is>
          <t>Q4-27E</t>
        </is>
      </c>
      <c r="AB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  <c r="X8" s="7" t="n"/>
      <c r="AB8" s="8" t="n"/>
    </row>
    <row r="9">
      <c r="B9" s="3" t="inlineStr">
        <is>
          <t>Total Revenue</t>
        </is>
      </c>
      <c r="D9" s="34" t="n">
        <v>320.643</v>
      </c>
      <c r="E9" s="35" t="n">
        <v>250.819</v>
      </c>
      <c r="F9" s="35" t="n">
        <v>249.308</v>
      </c>
      <c r="G9" s="35" t="n">
        <v>257.163</v>
      </c>
      <c r="H9" s="36">
        <f>SUM(D9:G9)</f>
        <v/>
      </c>
      <c r="I9" s="34" t="n">
        <v>278.106</v>
      </c>
      <c r="J9" s="35" t="n">
        <v>342.905</v>
      </c>
      <c r="K9" s="35" t="n">
        <v>215.877</v>
      </c>
      <c r="L9" s="35" t="n">
        <v>303.555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  <c r="X9" s="34">
        <f>V9+X13</f>
        <v/>
      </c>
      <c r="Y9" s="35">
        <f>X9+Y13</f>
        <v/>
      </c>
      <c r="Z9" s="35">
        <f>Y9+Z13</f>
        <v/>
      </c>
      <c r="AA9" s="35">
        <f>Z9+AA13</f>
        <v/>
      </c>
      <c r="AB9" s="36">
        <f>SUM(X9:AA9)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  <c r="X10" s="22">
        <f>IFERROR((X9-S9)/S9,"-")</f>
        <v/>
      </c>
      <c r="Y10" s="14">
        <f>IFERROR((Y9-T9)/T9,"-")</f>
        <v/>
      </c>
      <c r="Z10" s="14">
        <f>IFERROR((Z9-U9)/U9,"-")</f>
        <v/>
      </c>
      <c r="AA10" s="14">
        <f>IFERROR((AA9-V9)/V9,"-")</f>
        <v/>
      </c>
      <c r="AB10" s="23">
        <f>IFERROR((AB9-W9)/W9,"-")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  <c r="X11" s="22">
        <f>IFERROR((X9-V9)/V9,"-")</f>
        <v/>
      </c>
      <c r="Y11" s="14">
        <f>IFERROR((Y9-X9)/X9,"-")</f>
        <v/>
      </c>
      <c r="Z11" s="14">
        <f>IFERROR((Z9-Y9)/Y9,"-")</f>
        <v/>
      </c>
      <c r="AA11" s="14">
        <f>IFERROR((AA9-Z9)/Z9,"-")</f>
        <v/>
      </c>
      <c r="AB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  <c r="X12" s="29">
        <f>X9-S9</f>
        <v/>
      </c>
      <c r="Y12" s="30">
        <f>Y9-T9</f>
        <v/>
      </c>
      <c r="Z12" s="30">
        <f>Z9-U9</f>
        <v/>
      </c>
      <c r="AA12" s="30">
        <f>AA9-V9</f>
        <v/>
      </c>
      <c r="AB12" s="31">
        <f>AB9-W9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-12.66912</v>
      </c>
      <c r="O13" s="37" t="n">
        <v>80.574164</v>
      </c>
      <c r="P13" s="37" t="n">
        <v>-78.694481</v>
      </c>
      <c r="Q13" s="37" t="n">
        <v>37.502452</v>
      </c>
      <c r="R13" s="8" t="n"/>
      <c r="S13" s="38" t="n">
        <v>22.268615</v>
      </c>
      <c r="T13" s="37" t="n">
        <v>43.220174</v>
      </c>
      <c r="U13" s="37" t="n">
        <v>-20.486538</v>
      </c>
      <c r="V13" s="37" t="n">
        <v>21.239512</v>
      </c>
      <c r="W13" s="8" t="n"/>
      <c r="X13" s="38" t="n">
        <v>20.923648</v>
      </c>
      <c r="Y13" s="37" t="n">
        <v>34.561001</v>
      </c>
      <c r="Z13" s="37" t="n">
        <v>5.474835</v>
      </c>
      <c r="AA13" s="37" t="n">
        <v>24.743614</v>
      </c>
      <c r="AB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  <c r="X14" s="7" t="n"/>
      <c r="AB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288.377</v>
      </c>
      <c r="O15" s="35" t="n">
        <v>390.857533</v>
      </c>
      <c r="P15" s="35" t="n">
        <v>276.560033</v>
      </c>
      <c r="Q15" s="35" t="n">
        <v>304.4182</v>
      </c>
      <c r="R15" s="36">
        <f>SUM(N15:Q15)</f>
        <v/>
      </c>
      <c r="S15" s="34" t="n">
        <v>305.524667</v>
      </c>
      <c r="T15" s="35" t="n">
        <v>397.688867</v>
      </c>
      <c r="U15" s="35" t="n">
        <v>279.04955</v>
      </c>
      <c r="V15" s="35" t="n">
        <v>334.5713</v>
      </c>
      <c r="W15" s="36">
        <f>SUM(S15:V15)</f>
        <v/>
      </c>
      <c r="X15" s="34" t="n">
        <v>338.4096</v>
      </c>
      <c r="Y15" s="35" t="n">
        <v>436.2126</v>
      </c>
      <c r="AB15" s="8" t="n"/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  <c r="X16" s="22">
        <f>IFERROR((X15-S15)/S15,"-")</f>
        <v/>
      </c>
      <c r="Y16" s="14">
        <f>IFERROR((Y15-T15)/T15,"-")</f>
        <v/>
      </c>
      <c r="AB16" s="8" t="n"/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  <c r="X17" s="22">
        <f>IFERROR((X15-V15)/V15,"-")</f>
        <v/>
      </c>
      <c r="Y17" s="14">
        <f>IFERROR((Y15-X15)/X15,"-")</f>
        <v/>
      </c>
      <c r="AB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  <c r="X18" s="29">
        <f>X15-S15</f>
        <v/>
      </c>
      <c r="Y18" s="30">
        <f>Y15-T15</f>
        <v/>
      </c>
      <c r="AB18" s="8" t="n"/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  <c r="X19" s="29">
        <f>X15-V15</f>
        <v/>
      </c>
      <c r="Y19" s="30">
        <f>Y15-X15</f>
        <v/>
      </c>
      <c r="AB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  <c r="X20" s="7" t="n"/>
      <c r="AB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  <c r="X21" s="22">
        <f>IFERROR((X9-X15)/X15,"-")</f>
        <v/>
      </c>
      <c r="Y21" s="14">
        <f>IFERROR((Y9-Y15)/Y15,"-")</f>
        <v/>
      </c>
      <c r="AB21" s="23">
        <f>IFERROR((AB9-AB15)/AB15,"-")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  <c r="X22" s="7" t="n"/>
      <c r="AB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  <c r="X23" s="7" t="n"/>
      <c r="AB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  <c r="X24" s="7" t="n"/>
      <c r="AB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  <c r="X25" s="7" t="n"/>
      <c r="AB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  <c r="X26" s="7" t="n"/>
      <c r="AB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  <c r="X27" s="7" t="n"/>
      <c r="AB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  <c r="X28" s="7" t="n"/>
      <c r="AB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  <c r="X29" s="7" t="n"/>
      <c r="AB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  <c r="X30" s="7" t="n"/>
      <c r="AB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  <c r="X31" s="7" t="n"/>
      <c r="AB31" s="8" t="n"/>
    </row>
    <row r="32">
      <c r="B32" s="3" t="inlineStr">
        <is>
          <t>Actual Revenue</t>
        </is>
      </c>
      <c r="D32" s="34" t="n">
        <v>320.643</v>
      </c>
      <c r="E32" s="35" t="n">
        <v>250.819</v>
      </c>
      <c r="F32" s="35" t="n">
        <v>249.308</v>
      </c>
      <c r="G32" s="35" t="n">
        <v>257.163</v>
      </c>
      <c r="H32" s="36">
        <f>SUM(D32:G32)</f>
        <v/>
      </c>
      <c r="I32" s="34" t="n">
        <v>278.106</v>
      </c>
      <c r="J32" s="35" t="n">
        <v>342.905</v>
      </c>
      <c r="K32" s="35" t="n">
        <v>215.877</v>
      </c>
      <c r="L32" s="35" t="n">
        <v>303.555</v>
      </c>
      <c r="M32" s="36">
        <f>SUM(I32:L32)</f>
        <v/>
      </c>
      <c r="N32" s="7" t="n"/>
      <c r="R32" s="8" t="n"/>
      <c r="S32" s="7" t="n"/>
      <c r="W32" s="8" t="n"/>
      <c r="X32" s="7" t="n"/>
      <c r="AB32" s="8" t="n"/>
    </row>
    <row r="33">
      <c r="B33" s="3" t="inlineStr">
        <is>
          <t>Consensus Revenue</t>
        </is>
      </c>
      <c r="D33" s="34" t="n">
        <v>264.75</v>
      </c>
      <c r="E33" s="35" t="n">
        <v>326.554085</v>
      </c>
      <c r="F33" s="35" t="n">
        <v>264.626116</v>
      </c>
      <c r="G33" s="35" t="n">
        <v>265.45</v>
      </c>
      <c r="H33" s="36">
        <f>SUM(D33:G33)</f>
        <v/>
      </c>
      <c r="I33" s="34" t="n">
        <v>256.559966</v>
      </c>
      <c r="J33" s="35" t="n">
        <v>319.101335</v>
      </c>
      <c r="K33" s="35" t="n">
        <v>265.035547</v>
      </c>
      <c r="L33" s="35" t="n">
        <v>305.7035</v>
      </c>
      <c r="M33" s="36">
        <f>SUM(I33:L33)</f>
        <v/>
      </c>
      <c r="N33" s="7" t="n"/>
      <c r="R33" s="8" t="n"/>
      <c r="S33" s="7" t="n"/>
      <c r="W33" s="8" t="n"/>
      <c r="X33" s="7" t="n"/>
      <c r="AB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  <c r="X34" s="7" t="n"/>
      <c r="AB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3">
        <f>IFERROR((E32-E33)/E33,"-")</f>
        <v/>
      </c>
      <c r="F35" s="43">
        <f>IFERROR((F32-F33)/F33,"-")</f>
        <v/>
      </c>
      <c r="G35" s="43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3">
        <f>IFERROR((K32-K33)/K33,"-")</f>
        <v/>
      </c>
      <c r="L35" s="43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  <c r="X35" s="7" t="n"/>
      <c r="AB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  <c r="X36" s="7" t="n"/>
      <c r="AB36" s="8" t="n"/>
    </row>
    <row r="37">
      <c r="B37" s="2" t="inlineStr">
        <is>
          <t xml:space="preserve">   Trailing 4Q Avg Beat</t>
        </is>
      </c>
      <c r="C37" s="41">
        <f>AVERAGE(I35,J35,K35,L35)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  <c r="X37" s="7" t="n"/>
      <c r="AB37" s="8" t="n"/>
    </row>
    <row r="38">
      <c r="B38" s="2" t="inlineStr">
        <is>
          <t xml:space="preserve">   Trailing 8Q Avg Beat</t>
        </is>
      </c>
      <c r="C38" s="41">
        <f>AVERAGE(D35,E35,F35,G35,I35,J35,K35,L35)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  <c r="X38" s="7" t="n"/>
      <c r="AB38" s="8" t="n"/>
    </row>
    <row r="39">
      <c r="B39" s="2" t="inlineStr">
        <is>
          <t xml:space="preserve">   Selected Beat Cadence</t>
        </is>
      </c>
      <c r="C39" s="42" t="n">
        <v>0.008699999999999999</v>
      </c>
      <c r="D39" s="7" t="n"/>
      <c r="H39" s="8" t="n"/>
      <c r="I39" s="7" t="n"/>
      <c r="M39" s="8" t="n"/>
      <c r="N39" s="7" t="n"/>
      <c r="R39" s="8" t="n"/>
      <c r="S39" s="7" t="n"/>
      <c r="W39" s="8" t="n"/>
      <c r="X39" s="7" t="n"/>
      <c r="AB39" s="8" t="n"/>
    </row>
  </sheetData>
  <conditionalFormatting sqref="D21:AB21">
    <cfRule type="expression" priority="1" dxfId="0">
      <formula>D21&gt;0</formula>
    </cfRule>
    <cfRule type="expression" priority="2" dxfId="1">
      <formula>D21&lt;0</formula>
    </cfRule>
  </conditionalFormatting>
  <conditionalFormatting sqref="D29:AB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APPN: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0.005600000000000001</v>
      </c>
    </row>
    <row r="4">
      <c r="B4" s="9" t="inlineStr">
        <is>
          <t>Beat Window</t>
        </is>
      </c>
      <c r="C4" s="33" t="inlineStr">
        <is>
          <t>8Q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149.835</v>
      </c>
      <c r="E9" s="35" t="n">
        <v>146.45</v>
      </c>
      <c r="F9" s="35" t="n">
        <v>154.052</v>
      </c>
      <c r="G9" s="35" t="n">
        <v>166.685</v>
      </c>
      <c r="H9" s="36">
        <f>SUM(D9:G9)</f>
        <v/>
      </c>
      <c r="I9" s="34" t="n">
        <v>166.426</v>
      </c>
      <c r="J9" s="35" t="n">
        <v>170.64</v>
      </c>
      <c r="K9" s="35" t="n">
        <v>187.004</v>
      </c>
      <c r="L9" s="35" t="n">
        <v>202.867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-10.22943</v>
      </c>
      <c r="O13" s="37" t="n">
        <v>13.360209</v>
      </c>
      <c r="P13" s="37" t="n">
        <v>11.645526</v>
      </c>
      <c r="Q13" s="37" t="n">
        <v>13.440823</v>
      </c>
      <c r="R13" s="8" t="n"/>
      <c r="S13" s="38" t="n">
        <v>9.272779</v>
      </c>
      <c r="T13" s="37" t="n">
        <v>3.828053</v>
      </c>
      <c r="U13" s="37" t="n">
        <v>8.984204999999999</v>
      </c>
      <c r="V13" s="37" t="n">
        <v>11.390526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191.564807</v>
      </c>
      <c r="O15" s="35" t="n">
        <v>191.592082</v>
      </c>
      <c r="P15" s="35" t="n">
        <v>206.764215</v>
      </c>
      <c r="Q15" s="35" t="n">
        <v>221.028634</v>
      </c>
      <c r="R15" s="36">
        <f>SUM(N15:Q15)</f>
        <v/>
      </c>
      <c r="S15" s="34" t="n">
        <v>211.239802</v>
      </c>
      <c r="T15" s="35" t="n">
        <v>212.893608</v>
      </c>
      <c r="U15" s="35" t="n">
        <v>228.295093</v>
      </c>
      <c r="V15" s="35" t="n">
        <v>242.25518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149.835</v>
      </c>
      <c r="E32" s="35" t="n">
        <v>146.45</v>
      </c>
      <c r="F32" s="35" t="n">
        <v>154.052</v>
      </c>
      <c r="G32" s="35" t="n">
        <v>166.685</v>
      </c>
      <c r="H32" s="36">
        <f>SUM(D32:G32)</f>
        <v/>
      </c>
      <c r="I32" s="34" t="n">
        <v>166.426</v>
      </c>
      <c r="J32" s="35" t="n">
        <v>170.64</v>
      </c>
      <c r="K32" s="35" t="n">
        <v>187.004</v>
      </c>
      <c r="L32" s="35" t="n">
        <v>202.867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149.76</v>
      </c>
      <c r="E33" s="35" t="n">
        <v>142.95</v>
      </c>
      <c r="F33" s="35" t="n">
        <v>164.28</v>
      </c>
      <c r="G33" s="35" t="n">
        <v>166.99801</v>
      </c>
      <c r="H33" s="36">
        <f>SUM(D33:G33)</f>
        <v/>
      </c>
      <c r="I33" s="34" t="n">
        <v>159.92207</v>
      </c>
      <c r="J33" s="35" t="n">
        <v>173.41411</v>
      </c>
      <c r="K33" s="35" t="n">
        <v>189.33048</v>
      </c>
      <c r="L33" s="35" t="n">
        <v>189.2573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3">
        <f>IFERROR((F32-F33)/F33,"-")</f>
        <v/>
      </c>
      <c r="G35" s="43">
        <f>IFERROR((G32-G33)/G33,"-")</f>
        <v/>
      </c>
      <c r="H35" s="23">
        <f>IFERROR((H32-H33)/H33,"-")</f>
        <v/>
      </c>
      <c r="I35" s="39">
        <f>IFERROR((I32-I33)/I33,"-")</f>
        <v/>
      </c>
      <c r="J35" s="43">
        <f>IFERROR((J32-J33)/J33,"-")</f>
        <v/>
      </c>
      <c r="K35" s="43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>
        <f>AVERAGE(I35,J35,K35,L35)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>
        <f>AVERAGE(D35,E35,F35,G35,I35,J35,K35,L35)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0.005600000000000001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DOCN: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-0.0086</v>
      </c>
    </row>
    <row r="4">
      <c r="B4" s="9" t="inlineStr">
        <is>
          <t>Beat Window</t>
        </is>
      </c>
      <c r="C4" s="33" t="inlineStr">
        <is>
          <t>8Q</t>
        </is>
      </c>
    </row>
    <row r="5">
      <c r="B5" s="9" t="inlineStr">
        <is>
          <t>Momentum</t>
        </is>
      </c>
      <c r="C5" s="33" t="inlineStr">
        <is>
          <t>ACCELERATING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184.73</v>
      </c>
      <c r="E9" s="35" t="n">
        <v>192.476</v>
      </c>
      <c r="F9" s="35" t="n">
        <v>198.484</v>
      </c>
      <c r="G9" s="35" t="n">
        <v>204.925</v>
      </c>
      <c r="H9" s="36">
        <f>SUM(D9:G9)</f>
        <v/>
      </c>
      <c r="I9" s="34" t="n">
        <v>210.703</v>
      </c>
      <c r="J9" s="35" t="n">
        <v>218.7</v>
      </c>
      <c r="K9" s="35" t="n">
        <v>229.634</v>
      </c>
      <c r="L9" s="35" t="n">
        <v>242.39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11.267349</v>
      </c>
      <c r="O13" s="37" t="n">
        <v>-2.488425</v>
      </c>
      <c r="P13" s="37" t="n">
        <v>9.627378999999999</v>
      </c>
      <c r="Q13" s="37" t="n">
        <v>10.947715</v>
      </c>
      <c r="R13" s="8" t="n"/>
      <c r="S13" s="38" t="n">
        <v>5.692236</v>
      </c>
      <c r="T13" s="37" t="n">
        <v>7.931604</v>
      </c>
      <c r="U13" s="37" t="n">
        <v>9.159769000000001</v>
      </c>
      <c r="V13" s="37" t="n">
        <v>10.402345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255.857725</v>
      </c>
      <c r="O15" s="35" t="n">
        <v>265.568523</v>
      </c>
      <c r="P15" s="35" t="n">
        <v>280.750624</v>
      </c>
      <c r="Q15" s="35" t="n">
        <v>302.971567</v>
      </c>
      <c r="R15" s="36">
        <f>SUM(N15:Q15)</f>
        <v/>
      </c>
      <c r="S15" s="34" t="n">
        <v>320.856311</v>
      </c>
      <c r="T15" s="35" t="n">
        <v>341.621756</v>
      </c>
      <c r="U15" s="35" t="n">
        <v>366.960544</v>
      </c>
      <c r="V15" s="35" t="n">
        <v>395.711711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184.73</v>
      </c>
      <c r="E32" s="35" t="n">
        <v>192.476</v>
      </c>
      <c r="F32" s="35" t="n">
        <v>198.484</v>
      </c>
      <c r="G32" s="35" t="n">
        <v>204.925</v>
      </c>
      <c r="H32" s="36">
        <f>SUM(D32:G32)</f>
        <v/>
      </c>
      <c r="I32" s="34" t="n">
        <v>210.703</v>
      </c>
      <c r="J32" s="35" t="n">
        <v>218.7</v>
      </c>
      <c r="K32" s="35" t="n">
        <v>229.634</v>
      </c>
      <c r="L32" s="35" t="n">
        <v>242.39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182.58</v>
      </c>
      <c r="E33" s="35" t="n">
        <v>188.56</v>
      </c>
      <c r="F33" s="35" t="n">
        <v>200.41</v>
      </c>
      <c r="G33" s="35" t="n">
        <v>207.6837</v>
      </c>
      <c r="H33" s="36">
        <f>SUM(D33:G33)</f>
        <v/>
      </c>
      <c r="I33" s="34" t="n">
        <v>217.14502</v>
      </c>
      <c r="J33" s="35" t="n">
        <v>226.49952</v>
      </c>
      <c r="K33" s="35" t="n">
        <v>237.72964</v>
      </c>
      <c r="L33" s="35" t="n">
        <v>237.7321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3">
        <f>IFERROR((F32-F33)/F33,"-")</f>
        <v/>
      </c>
      <c r="G35" s="43">
        <f>IFERROR((G32-G33)/G33,"-")</f>
        <v/>
      </c>
      <c r="H35" s="23">
        <f>IFERROR((H32-H33)/H33,"-")</f>
        <v/>
      </c>
      <c r="I35" s="44">
        <f>IFERROR((I32-I33)/I33,"-")</f>
        <v/>
      </c>
      <c r="J35" s="43">
        <f>IFERROR((J32-J33)/J33,"-")</f>
        <v/>
      </c>
      <c r="K35" s="43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>
        <f>AVERAGE(I35,J35,K35,L35)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>
        <f>AVERAGE(D35,E35,F35,G35,I35,J35,K35,L35)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-0.0086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2026-04-12T20:14:27Z</dcterms:created>
  <dcterms:modified xsi:type="dcterms:W3CDTF">2026-04-12T20:14:29Z</dcterms:modified>
</cp:coreProperties>
</file>