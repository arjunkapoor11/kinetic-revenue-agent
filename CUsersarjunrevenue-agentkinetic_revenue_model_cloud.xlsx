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  <sheet name="DDOG" sheetId="3" state="visible" r:id="rId3"/>
    <sheet name="MDB" sheetId="4" state="visible" r:id="rId4"/>
    <sheet name="TENB" sheetId="5" state="visible" r:id="rId5"/>
    <sheet name="QLY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_);(#,##0.0);&quot;-&quot;"/>
    <numFmt numFmtId="166" formatCode="0.0%_);(0.0%);&quot;-&quot;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b val="1"/>
      <color rgb="00FFFFFF"/>
      <sz val="10"/>
    </font>
    <font>
      <name val="Times New Roman"/>
      <b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1A1F2E"/>
      </patternFill>
    </fill>
  </fills>
  <borders count="6">
    <border>
      <left/>
      <right/>
      <top/>
      <bottom/>
      <diagonal/>
    </border>
    <border>
      <bottom style="thick"/>
    </border>
    <border>
      <right style="thick"/>
      <bottom style="thick"/>
    </border>
    <border>
      <right style="thick"/>
      <bottom/>
    </border>
    <border>
      <right style="thin"/>
      <bottom style="thick"/>
    </border>
    <border>
      <left/>
      <right style="thin"/>
      <bottom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10" fontId="6" fillId="0" borderId="0" pivotButton="0" quotePrefix="0" xfId="0"/>
    <xf numFmtId="0" fontId="5" fillId="0" borderId="0" applyAlignment="1" pivotButton="0" quotePrefix="0" xfId="0">
      <alignment horizontal="center"/>
    </xf>
    <xf numFmtId="164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2" borderId="5" pivotButton="0" quotePrefix="0" xfId="0"/>
    <xf numFmtId="0" fontId="0" fillId="2" borderId="3" pivotButton="0" quotePrefix="0" xfId="0"/>
    <xf numFmtId="0" fontId="0" fillId="0" borderId="5" pivotButton="0" quotePrefix="0" xfId="0"/>
    <xf numFmtId="0" fontId="0" fillId="0" borderId="3" pivotButton="0" quotePrefix="0" xfId="0"/>
    <xf numFmtId="165" fontId="6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5" fontId="5" fillId="0" borderId="5" applyAlignment="1" pivotButton="0" quotePrefix="0" xfId="0">
      <alignment horizontal="right"/>
    </xf>
    <xf numFmtId="165" fontId="6" fillId="0" borderId="3" applyAlignment="1" pivotButton="0" quotePrefix="0" xfId="0">
      <alignment horizontal="right"/>
    </xf>
    <xf numFmtId="166" fontId="5" fillId="0" borderId="5" applyAlignment="1" pivotButton="0" quotePrefix="0" xfId="0">
      <alignment horizontal="right"/>
    </xf>
    <xf numFmtId="166" fontId="5" fillId="0" borderId="3" applyAlignment="1" pivotButton="0" quotePrefix="0" xfId="0">
      <alignment horizontal="right"/>
    </xf>
    <xf numFmtId="165" fontId="5" fillId="0" borderId="3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B1" s="1" t="inlineStr">
        <is>
          <t>KINETIC REVENUE MODEL</t>
        </is>
      </c>
    </row>
    <row r="2">
      <c r="B2" s="2" t="inlineStr">
        <is>
          <t>Generated April 11, 2026  22:19</t>
        </is>
      </c>
    </row>
    <row r="4">
      <c r="A4" s="3" t="n"/>
      <c r="B4" s="4" t="inlineStr">
        <is>
          <t>GUIDE INFERENCE SIGNALS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P4" s="4" t="inlineStr">
        <is>
          <t>CONSENSUS COMPARISON</t>
        </is>
      </c>
      <c r="Q4" s="3" t="n"/>
      <c r="R4" s="3" t="n"/>
      <c r="S4" s="3" t="n"/>
      <c r="T4" s="3" t="n"/>
      <c r="U4" s="3" t="n"/>
      <c r="V4" s="3" t="n"/>
    </row>
    <row r="5">
      <c r="B5" s="5" t="inlineStr">
        <is>
          <t>Ticker</t>
        </is>
      </c>
      <c r="C5" s="5" t="inlineStr">
        <is>
          <t>Beat 4Q</t>
        </is>
      </c>
      <c r="D5" s="5" t="inlineStr">
        <is>
          <t>Beat 8Q</t>
        </is>
      </c>
      <c r="E5" s="5" t="inlineStr">
        <is>
          <t>Selected</t>
        </is>
      </c>
      <c r="F5" s="5" t="inlineStr">
        <is>
          <t>Changing?</t>
        </is>
      </c>
      <c r="H5" s="5" t="inlineStr">
        <is>
          <t>Ticker</t>
        </is>
      </c>
      <c r="I5" s="5" t="inlineStr">
        <is>
          <t>Q+1</t>
        </is>
      </c>
      <c r="J5" s="5" t="inlineStr">
        <is>
          <t>Q+2</t>
        </is>
      </c>
      <c r="K5" s="5" t="inlineStr">
        <is>
          <t>Q+3</t>
        </is>
      </c>
      <c r="L5" s="5" t="inlineStr">
        <is>
          <t>Q+4</t>
        </is>
      </c>
      <c r="M5" s="5" t="inlineStr">
        <is>
          <t>Momentum</t>
        </is>
      </c>
      <c r="P5" s="5" t="inlineStr">
        <is>
          <t>Ticker</t>
        </is>
      </c>
      <c r="Q5" s="5" t="inlineStr">
        <is>
          <t>NxtQ Sig</t>
        </is>
      </c>
      <c r="R5" s="5" t="inlineStr">
        <is>
          <t>Gap%</t>
        </is>
      </c>
      <c r="S5" s="5" t="inlineStr">
        <is>
          <t>FY Sig</t>
        </is>
      </c>
      <c r="T5" s="5" t="inlineStr">
        <is>
          <t>Gap%</t>
        </is>
      </c>
      <c r="U5" s="5" t="inlineStr">
        <is>
          <t>NxFY Sig</t>
        </is>
      </c>
      <c r="V5" s="5" t="inlineStr">
        <is>
          <t>Gap%</t>
        </is>
      </c>
    </row>
    <row r="6">
      <c r="B6" s="6" t="inlineStr">
        <is>
          <t>SNOW</t>
        </is>
      </c>
      <c r="C6" s="7" t="n">
        <v>0.0334</v>
      </c>
      <c r="D6" s="7" t="n">
        <v>0.0352</v>
      </c>
      <c r="E6" s="7" t="n">
        <v>0.0352</v>
      </c>
      <c r="F6" s="6" t="inlineStr">
        <is>
          <t>No</t>
        </is>
      </c>
      <c r="H6" s="6" t="inlineStr">
        <is>
          <t>SNOW</t>
        </is>
      </c>
      <c r="I6" s="8" t="inlineStr">
        <is>
          <t>GUIDE BELOW</t>
        </is>
      </c>
      <c r="J6" s="8" t="inlineStr">
        <is>
          <t>GUIDE BELOW</t>
        </is>
      </c>
      <c r="K6" s="8" t="inlineStr">
        <is>
          <t>GUIDE BELOW</t>
        </is>
      </c>
      <c r="L6" s="8" t="inlineStr">
        <is>
          <t>GUIDE BELOW</t>
        </is>
      </c>
      <c r="M6" s="6" t="inlineStr">
        <is>
          <t>STABLE</t>
        </is>
      </c>
      <c r="P6" s="6" t="inlineStr">
        <is>
          <t>SNOW</t>
        </is>
      </c>
      <c r="Q6" s="6" t="inlineStr">
        <is>
          <t>N/A</t>
        </is>
      </c>
      <c r="S6" s="8" t="inlineStr">
        <is>
          <t>BEAT</t>
        </is>
      </c>
      <c r="T6" s="9" t="n">
        <v>0.9826</v>
      </c>
      <c r="U6" s="8" t="inlineStr">
        <is>
          <t>MISS</t>
        </is>
      </c>
      <c r="V6" s="9" t="n">
        <v>-0.7717000000000001</v>
      </c>
    </row>
    <row r="7">
      <c r="B7" s="6" t="inlineStr">
        <is>
          <t>DDOG</t>
        </is>
      </c>
      <c r="C7" s="7" t="n">
        <v>0.0371</v>
      </c>
      <c r="D7" s="7" t="n">
        <v>0.0349</v>
      </c>
      <c r="E7" s="7" t="n">
        <v>0.0349</v>
      </c>
      <c r="F7" s="6" t="inlineStr">
        <is>
          <t>No</t>
        </is>
      </c>
      <c r="H7" s="6" t="inlineStr">
        <is>
          <t>DDOG</t>
        </is>
      </c>
      <c r="I7" s="8" t="inlineStr">
        <is>
          <t>IN-LINE</t>
        </is>
      </c>
      <c r="J7" s="8" t="inlineStr">
        <is>
          <t>IN-LINE</t>
        </is>
      </c>
      <c r="K7" s="8" t="inlineStr">
        <is>
          <t>IN-LINE</t>
        </is>
      </c>
      <c r="L7" s="8" t="inlineStr">
        <is>
          <t>IN-LINE</t>
        </is>
      </c>
      <c r="M7" s="6" t="inlineStr">
        <is>
          <t>STABLE</t>
        </is>
      </c>
      <c r="P7" s="6" t="inlineStr">
        <is>
          <t>DDOG</t>
        </is>
      </c>
      <c r="Q7" s="6" t="inlineStr">
        <is>
          <t>N/A</t>
        </is>
      </c>
      <c r="S7" s="8" t="inlineStr">
        <is>
          <t>BEAT</t>
        </is>
      </c>
      <c r="T7" s="9" t="n">
        <v>0.9889</v>
      </c>
      <c r="U7" s="8" t="inlineStr">
        <is>
          <t>MISS</t>
        </is>
      </c>
      <c r="V7" s="9" t="n">
        <v>-1</v>
      </c>
    </row>
    <row r="8">
      <c r="B8" s="6" t="inlineStr">
        <is>
          <t>MDB</t>
        </is>
      </c>
      <c r="C8" s="7" t="n">
        <v>0.0505</v>
      </c>
      <c r="D8" s="7" t="n">
        <v>0.0461</v>
      </c>
      <c r="E8" s="7" t="n">
        <v>0.0505</v>
      </c>
      <c r="F8" s="6" t="inlineStr">
        <is>
          <t>No</t>
        </is>
      </c>
      <c r="H8" s="6" t="inlineStr">
        <is>
          <t>MDB</t>
        </is>
      </c>
      <c r="I8" s="8" t="inlineStr">
        <is>
          <t>GUIDE BELOW</t>
        </is>
      </c>
      <c r="J8" s="8" t="inlineStr">
        <is>
          <t>IN-LINE</t>
        </is>
      </c>
      <c r="K8" s="8" t="inlineStr">
        <is>
          <t>GUIDE BELOW</t>
        </is>
      </c>
      <c r="L8" s="8" t="inlineStr">
        <is>
          <t>GUIDE BELOW</t>
        </is>
      </c>
      <c r="M8" s="6" t="inlineStr">
        <is>
          <t>STABLE</t>
        </is>
      </c>
      <c r="P8" s="6" t="inlineStr">
        <is>
          <t>MDB</t>
        </is>
      </c>
      <c r="Q8" s="6" t="inlineStr">
        <is>
          <t>N/A</t>
        </is>
      </c>
      <c r="S8" s="8" t="inlineStr">
        <is>
          <t>BEAT</t>
        </is>
      </c>
      <c r="T8" s="9" t="n">
        <v>1.0255</v>
      </c>
      <c r="U8" s="8" t="inlineStr">
        <is>
          <t>MISS</t>
        </is>
      </c>
      <c r="V8" s="9" t="n">
        <v>-0.7529</v>
      </c>
    </row>
    <row r="9">
      <c r="B9" s="6" t="inlineStr">
        <is>
          <t>TENB</t>
        </is>
      </c>
      <c r="C9" s="7" t="n">
        <v>0.0171</v>
      </c>
      <c r="D9" s="7" t="n">
        <v>0.0112</v>
      </c>
      <c r="E9" s="7" t="n">
        <v>0.0171</v>
      </c>
      <c r="F9" s="6" t="inlineStr">
        <is>
          <t>No</t>
        </is>
      </c>
      <c r="H9" s="6" t="inlineStr">
        <is>
          <t>TENB</t>
        </is>
      </c>
      <c r="I9" s="8" t="inlineStr">
        <is>
          <t>IN-LINE</t>
        </is>
      </c>
      <c r="J9" s="8" t="inlineStr">
        <is>
          <t>IN-LINE</t>
        </is>
      </c>
      <c r="K9" s="8" t="inlineStr">
        <is>
          <t>IN-LINE</t>
        </is>
      </c>
      <c r="L9" s="8" t="inlineStr">
        <is>
          <t>IN-LINE</t>
        </is>
      </c>
      <c r="M9" s="6" t="inlineStr">
        <is>
          <t>STABLE</t>
        </is>
      </c>
      <c r="P9" s="6" t="inlineStr">
        <is>
          <t>TENB</t>
        </is>
      </c>
      <c r="Q9" s="6" t="inlineStr">
        <is>
          <t>N/A</t>
        </is>
      </c>
      <c r="S9" s="8" t="inlineStr">
        <is>
          <t>BEAT</t>
        </is>
      </c>
      <c r="T9" s="9" t="n">
        <v>1.0143</v>
      </c>
      <c r="U9" s="8" t="inlineStr">
        <is>
          <t>MISS</t>
        </is>
      </c>
      <c r="V9" s="9" t="n">
        <v>-1</v>
      </c>
    </row>
    <row r="10">
      <c r="B10" s="6" t="inlineStr">
        <is>
          <t>QLYS</t>
        </is>
      </c>
      <c r="C10" s="7" t="n">
        <v>0.0026</v>
      </c>
      <c r="D10" s="7" t="n">
        <v>0.0067</v>
      </c>
      <c r="E10" s="7" t="n">
        <v>0.0067</v>
      </c>
      <c r="F10" s="6" t="inlineStr">
        <is>
          <t>No</t>
        </is>
      </c>
      <c r="H10" s="6" t="inlineStr">
        <is>
          <t>QLYS</t>
        </is>
      </c>
      <c r="I10" s="8" t="inlineStr">
        <is>
          <t>IN-LINE</t>
        </is>
      </c>
      <c r="J10" s="8" t="inlineStr">
        <is>
          <t>IN-LINE</t>
        </is>
      </c>
      <c r="K10" s="8" t="inlineStr">
        <is>
          <t>IN-LINE</t>
        </is>
      </c>
      <c r="L10" s="8" t="inlineStr">
        <is>
          <t>IN-LINE</t>
        </is>
      </c>
      <c r="M10" s="6" t="inlineStr">
        <is>
          <t>STABLE</t>
        </is>
      </c>
      <c r="P10" s="6" t="inlineStr">
        <is>
          <t>QLYS</t>
        </is>
      </c>
      <c r="Q10" s="6" t="inlineStr">
        <is>
          <t>N/A</t>
        </is>
      </c>
      <c r="S10" s="8" t="inlineStr">
        <is>
          <t>BEAT</t>
        </is>
      </c>
      <c r="T10" s="9" t="n">
        <v>0.9772</v>
      </c>
      <c r="U10" s="8" t="inlineStr">
        <is>
          <t>MISS</t>
        </is>
      </c>
      <c r="V10" s="9" t="n">
        <v>-1</v>
      </c>
    </row>
  </sheetData>
  <conditionalFormatting sqref="I6:L10">
    <cfRule type="cellIs" priority="1" operator="equal" dxfId="0">
      <formula>"GUIDE ABOVE"</formula>
    </cfRule>
    <cfRule type="cellIs" priority="2" operator="equal" dxfId="1">
      <formula>"GUIDE BELOW"</formula>
    </cfRule>
    <cfRule type="cellIs" priority="3" operator="equal" dxfId="2">
      <formula>"IN-LINE"</formula>
    </cfRule>
  </conditionalFormatting>
  <conditionalFormatting sqref="Q6:Q10">
    <cfRule type="cellIs" priority="4" operator="equal" dxfId="0">
      <formula>"BEAT"</formula>
    </cfRule>
    <cfRule type="cellIs" priority="5" operator="equal" dxfId="1">
      <formula>"MISS"</formula>
    </cfRule>
  </conditionalFormatting>
  <conditionalFormatting sqref="S6:S10">
    <cfRule type="cellIs" priority="6" operator="equal" dxfId="0">
      <formula>"BEAT"</formula>
    </cfRule>
    <cfRule type="cellIs" priority="7" operator="equal" dxfId="1">
      <formula>"MISS"</formula>
    </cfRule>
  </conditionalFormatting>
  <conditionalFormatting sqref="U6:U10">
    <cfRule type="cellIs" priority="8" operator="equal" dxfId="0">
      <formula>"BEAT"</formula>
    </cfRule>
    <cfRule type="cellIs" priority="9" operator="equal" dxfId="1">
      <formula>"MISS"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6" t="inlineStr">
        <is>
          <t>Beat Cadence (%)</t>
        </is>
      </c>
      <c r="C3" s="7" t="n">
        <v>0.0352</v>
      </c>
    </row>
    <row r="4">
      <c r="B4" s="6" t="inlineStr">
        <is>
          <t>Beat Window</t>
        </is>
      </c>
      <c r="C4" s="10" t="inlineStr">
        <is>
          <t>8Q</t>
        </is>
      </c>
    </row>
    <row r="5">
      <c r="B5" s="6" t="inlineStr">
        <is>
          <t>Momentum</t>
        </is>
      </c>
      <c r="C5" s="10" t="inlineStr">
        <is>
          <t>STABLE</t>
        </is>
      </c>
    </row>
    <row r="6">
      <c r="B6" s="6" t="inlineStr">
        <is>
          <t>Trailing YoY</t>
        </is>
      </c>
      <c r="C6" s="11" t="n">
        <v>0.291</v>
      </c>
    </row>
    <row r="12">
      <c r="H12" s="12" t="inlineStr">
        <is>
          <t>Q1-24</t>
        </is>
      </c>
      <c r="I12" s="12" t="inlineStr">
        <is>
          <t>Q2-24</t>
        </is>
      </c>
      <c r="J12" s="12" t="inlineStr">
        <is>
          <t>Q3-24</t>
        </is>
      </c>
      <c r="K12" s="12" t="inlineStr">
        <is>
          <t>Q4-24</t>
        </is>
      </c>
      <c r="L12" s="13" t="inlineStr">
        <is>
          <t>FY24</t>
        </is>
      </c>
      <c r="M12" s="12" t="inlineStr">
        <is>
          <t>Q1-25</t>
        </is>
      </c>
      <c r="N12" s="12" t="inlineStr">
        <is>
          <t>Q2-25</t>
        </is>
      </c>
      <c r="O12" s="12" t="inlineStr">
        <is>
          <t>Q3-25</t>
        </is>
      </c>
      <c r="P12" s="12" t="inlineStr">
        <is>
          <t>Q4-25</t>
        </is>
      </c>
      <c r="Q12" s="13" t="inlineStr">
        <is>
          <t>FY25</t>
        </is>
      </c>
      <c r="R12" s="14" t="inlineStr">
        <is>
          <t>Q1-26</t>
        </is>
      </c>
      <c r="S12" s="12" t="inlineStr">
        <is>
          <t>Q2-26E</t>
        </is>
      </c>
      <c r="T12" s="12" t="inlineStr">
        <is>
          <t>Q3-26E</t>
        </is>
      </c>
      <c r="U12" s="12" t="inlineStr">
        <is>
          <t>Q4-26E</t>
        </is>
      </c>
      <c r="V12" s="13" t="inlineStr">
        <is>
          <t>FY26E</t>
        </is>
      </c>
      <c r="W12" s="12" t="inlineStr">
        <is>
          <t>Q1-27E</t>
        </is>
      </c>
      <c r="X12" s="12" t="inlineStr">
        <is>
          <t>Q2-27E</t>
        </is>
      </c>
      <c r="Y12" s="12" t="inlineStr">
        <is>
          <t>Q3-27E</t>
        </is>
      </c>
    </row>
    <row r="13">
      <c r="A13" s="3" t="n"/>
      <c r="B13" s="4" t="inlineStr">
        <is>
          <t>GUIDE INFERENCE  |  SNOW  |  Beat Cadence: +3.5% (8Q)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15" t="n"/>
      <c r="M13" s="3" t="n"/>
      <c r="N13" s="3" t="n"/>
      <c r="O13" s="3" t="n"/>
      <c r="P13" s="3" t="n"/>
      <c r="Q13" s="15" t="n"/>
      <c r="R13" s="16" t="n"/>
      <c r="S13" s="3" t="n"/>
      <c r="T13" s="3" t="n"/>
      <c r="U13" s="3" t="n"/>
      <c r="V13" s="15" t="n"/>
      <c r="W13" s="3" t="n"/>
      <c r="X13" s="3" t="n"/>
      <c r="Y13" s="3" t="n"/>
    </row>
    <row r="14">
      <c r="B14" s="6" t="inlineStr">
        <is>
          <t>Memo: Consensus</t>
        </is>
      </c>
      <c r="L14" s="17" t="n"/>
      <c r="Q14" s="17" t="n"/>
      <c r="R14" s="18" t="n"/>
      <c r="U14" s="19" t="n">
        <v>1620.305067</v>
      </c>
      <c r="V14" s="17" t="n"/>
      <c r="W14" s="19" t="n">
        <v>1654.796208</v>
      </c>
      <c r="X14" s="19" t="n">
        <v>1777.673986</v>
      </c>
      <c r="Y14" s="19" t="n">
        <v>1886.297441</v>
      </c>
    </row>
    <row r="15">
      <c r="B15" s="6" t="inlineStr">
        <is>
          <t>KIN Est. Proj. $ QoQ</t>
        </is>
      </c>
      <c r="L15" s="17" t="n"/>
      <c r="Q15" s="17" t="n"/>
      <c r="R15" s="18" t="n"/>
      <c r="V15" s="17" t="n"/>
      <c r="W15" s="19" t="n">
        <v>71.08499999999999</v>
      </c>
      <c r="X15" s="19" t="n">
        <v>55.304</v>
      </c>
      <c r="Y15" s="19" t="n">
        <v>105.98185</v>
      </c>
    </row>
    <row r="16">
      <c r="B16" s="6" t="inlineStr">
        <is>
          <t>KIN Est. Projected Actual</t>
        </is>
      </c>
      <c r="L16" s="17" t="n"/>
      <c r="Q16" s="17" t="n"/>
      <c r="R16" s="18" t="n"/>
      <c r="U16" s="20">
        <f>U14*(1+$C$3)</f>
        <v/>
      </c>
      <c r="V16" s="17" t="n"/>
      <c r="W16" s="20">
        <f>U16+W15</f>
        <v/>
      </c>
      <c r="X16" s="20">
        <f>W16+X15</f>
        <v/>
      </c>
      <c r="Y16" s="20">
        <f>X16+Y15</f>
        <v/>
      </c>
    </row>
    <row r="17">
      <c r="B17" s="6" t="inlineStr">
        <is>
          <t>KIN Est. Implied Guide</t>
        </is>
      </c>
      <c r="L17" s="17" t="n"/>
      <c r="Q17" s="17" t="n"/>
      <c r="R17" s="18" t="n"/>
      <c r="U17" s="20">
        <f>U16/(1+$C$3)</f>
        <v/>
      </c>
      <c r="V17" s="17" t="n"/>
      <c r="W17" s="20">
        <f>W16/(1+$C$3)</f>
        <v/>
      </c>
      <c r="X17" s="20">
        <f>X16/(1+$C$3)</f>
        <v/>
      </c>
      <c r="Y17" s="20">
        <f>Y16/(1+$C$3)</f>
        <v/>
      </c>
    </row>
    <row r="18">
      <c r="B18" s="6" t="inlineStr">
        <is>
          <t>Gap $</t>
        </is>
      </c>
      <c r="L18" s="17" t="n"/>
      <c r="Q18" s="17" t="n"/>
      <c r="R18" s="18" t="n"/>
      <c r="U18" s="20">
        <f>U17-U14</f>
        <v/>
      </c>
      <c r="V18" s="17" t="n"/>
      <c r="W18" s="20">
        <f>W17-W14</f>
        <v/>
      </c>
      <c r="X18" s="20">
        <f>X17-X14</f>
        <v/>
      </c>
      <c r="Y18" s="20">
        <f>Y17-Y14</f>
        <v/>
      </c>
    </row>
    <row r="19">
      <c r="B19" s="6" t="inlineStr">
        <is>
          <t>Gap %</t>
        </is>
      </c>
      <c r="L19" s="17" t="n"/>
      <c r="Q19" s="17" t="n"/>
      <c r="R19" s="18" t="n"/>
      <c r="U19" s="21">
        <f>IFERROR(U18/U14,"-")</f>
        <v/>
      </c>
      <c r="V19" s="17" t="n"/>
      <c r="W19" s="21">
        <f>IFERROR(W18/W14,"-")</f>
        <v/>
      </c>
      <c r="X19" s="21">
        <f>IFERROR(X18/X14,"-")</f>
        <v/>
      </c>
      <c r="Y19" s="21">
        <f>IFERROR(Y18/Y14,"-")</f>
        <v/>
      </c>
    </row>
    <row r="20">
      <c r="B20" s="6" t="inlineStr">
        <is>
          <t>Signal</t>
        </is>
      </c>
      <c r="L20" s="17" t="n"/>
      <c r="Q20" s="17" t="n"/>
      <c r="R20" s="18" t="n"/>
      <c r="U20" s="22">
        <f>IF(U19&gt;0.02,"GUIDE ABOVE",IF(U19&lt;-0.02,"GUIDE BELOW","IN-LINE"))</f>
        <v/>
      </c>
      <c r="V20" s="17" t="n"/>
      <c r="W20" s="22">
        <f>IF(W19&gt;0.02,"GUIDE ABOVE",IF(W19&lt;-0.02,"GUIDE BELOW","IN-LINE"))</f>
        <v/>
      </c>
      <c r="X20" s="22">
        <f>IF(X19&gt;0.02,"GUIDE ABOVE",IF(X19&lt;-0.02,"GUIDE BELOW","IN-LINE"))</f>
        <v/>
      </c>
      <c r="Y20" s="22">
        <f>IF(Y19&gt;0.02,"GUIDE ABOVE",IF(Y19&lt;-0.02,"GUIDE BELOW","IN-LINE"))</f>
        <v/>
      </c>
    </row>
    <row r="21">
      <c r="L21" s="17" t="n"/>
      <c r="Q21" s="17" t="n"/>
      <c r="R21" s="18" t="n"/>
      <c r="V21" s="17" t="n"/>
    </row>
    <row r="22">
      <c r="A22" s="3" t="n"/>
      <c r="B22" s="4" t="inlineStr">
        <is>
          <t>REVENUE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15" t="n"/>
      <c r="M22" s="3" t="n"/>
      <c r="N22" s="3" t="n"/>
      <c r="O22" s="3" t="n"/>
      <c r="P22" s="3" t="n"/>
      <c r="Q22" s="15" t="n"/>
      <c r="R22" s="16" t="n"/>
      <c r="S22" s="3" t="n"/>
      <c r="T22" s="3" t="n"/>
      <c r="U22" s="3" t="n"/>
      <c r="V22" s="15" t="n"/>
      <c r="W22" s="3" t="n"/>
      <c r="X22" s="3" t="n"/>
      <c r="Y22" s="3" t="n"/>
    </row>
    <row r="23">
      <c r="B23" s="6" t="inlineStr">
        <is>
          <t>Revenue</t>
        </is>
      </c>
      <c r="H23" s="19" t="n">
        <v>774.699</v>
      </c>
      <c r="I23" s="19" t="n">
        <v>828.7089999999999</v>
      </c>
      <c r="J23" s="19" t="n">
        <v>868.823</v>
      </c>
      <c r="K23" s="19" t="n">
        <v>942.0940000000001</v>
      </c>
      <c r="L23" s="23">
        <f>SUM(H23:K23)</f>
        <v/>
      </c>
      <c r="M23" s="19" t="n">
        <v>986.77</v>
      </c>
      <c r="N23" s="19" t="n">
        <v>1042.074</v>
      </c>
      <c r="O23" s="19" t="n">
        <v>1144.969</v>
      </c>
      <c r="P23" s="19" t="n">
        <v>1212.909</v>
      </c>
      <c r="Q23" s="23">
        <f>SUM(M23:P23)</f>
        <v/>
      </c>
      <c r="R23" s="24" t="n">
        <v>1283.994</v>
      </c>
      <c r="S23" s="19" t="n">
        <v>1339.298</v>
      </c>
      <c r="T23" s="19" t="n">
        <v>1445.27985</v>
      </c>
      <c r="U23" s="19" t="n">
        <v>1513.21985</v>
      </c>
      <c r="V23" s="23">
        <f>SUM(R23:U23)</f>
        <v/>
      </c>
      <c r="W23" s="19" t="n">
        <v>1584.30485</v>
      </c>
    </row>
    <row r="24">
      <c r="B24" s="6" t="inlineStr">
        <is>
          <t>% YoY</t>
        </is>
      </c>
      <c r="L24" s="17" t="n"/>
      <c r="M24" s="21">
        <f>IFERROR((M23-H23)/H23,"-")</f>
        <v/>
      </c>
      <c r="N24" s="21">
        <f>IFERROR((N23-I23)/I23,"-")</f>
        <v/>
      </c>
      <c r="O24" s="21">
        <f>IFERROR((O23-J23)/J23,"-")</f>
        <v/>
      </c>
      <c r="P24" s="21">
        <f>IFERROR((P23-K23)/K23,"-")</f>
        <v/>
      </c>
      <c r="Q24" s="25">
        <f>IFERROR((Q23-L23)/L23,"-")</f>
        <v/>
      </c>
      <c r="R24" s="26">
        <f>IFERROR((R23-M23)/M23,"-")</f>
        <v/>
      </c>
      <c r="S24" s="21">
        <f>IFERROR((S23-N23)/N23,"-")</f>
        <v/>
      </c>
      <c r="T24" s="21">
        <f>IFERROR((T23-O23)/O23,"-")</f>
        <v/>
      </c>
      <c r="U24" s="21">
        <f>IFERROR((U23-P23)/P23,"-")</f>
        <v/>
      </c>
      <c r="V24" s="25">
        <f>IFERROR((V23-Q23)/Q23,"-")</f>
        <v/>
      </c>
      <c r="W24" s="21">
        <f>IFERROR((W23-R23)/R23,"-")</f>
        <v/>
      </c>
      <c r="X24" s="21">
        <f>IFERROR((X23-S23)/S23,"-")</f>
        <v/>
      </c>
      <c r="Y24" s="21">
        <f>IFERROR((Y23-T23)/T23,"-")</f>
        <v/>
      </c>
    </row>
    <row r="25">
      <c r="B25" s="6" t="inlineStr">
        <is>
          <t>% QoQ</t>
        </is>
      </c>
      <c r="I25" s="21">
        <f>IFERROR((I23-H23)/H23,"-")</f>
        <v/>
      </c>
      <c r="J25" s="21">
        <f>IFERROR((J23-I23)/I23,"-")</f>
        <v/>
      </c>
      <c r="K25" s="21">
        <f>IFERROR((K23-J23)/J23,"-")</f>
        <v/>
      </c>
      <c r="L25" s="17" t="n"/>
      <c r="M25" s="21">
        <f>IFERROR((M23-K23)/K23,"-")</f>
        <v/>
      </c>
      <c r="N25" s="21">
        <f>IFERROR((N23-M23)/M23,"-")</f>
        <v/>
      </c>
      <c r="O25" s="21">
        <f>IFERROR((O23-N23)/N23,"-")</f>
        <v/>
      </c>
      <c r="P25" s="21">
        <f>IFERROR((P23-O23)/O23,"-")</f>
        <v/>
      </c>
      <c r="Q25" s="17" t="n"/>
      <c r="R25" s="26">
        <f>IFERROR((R23-P23)/P23,"-")</f>
        <v/>
      </c>
      <c r="S25" s="21">
        <f>IFERROR((S23-R23)/R23,"-")</f>
        <v/>
      </c>
      <c r="T25" s="21">
        <f>IFERROR((T23-S23)/S23,"-")</f>
        <v/>
      </c>
      <c r="U25" s="21">
        <f>IFERROR((U23-T23)/T23,"-")</f>
        <v/>
      </c>
      <c r="V25" s="17" t="n"/>
      <c r="W25" s="21">
        <f>IFERROR((W23-U23)/U23,"-")</f>
        <v/>
      </c>
      <c r="X25" s="21">
        <f>IFERROR((X23-W23)/W23,"-")</f>
        <v/>
      </c>
      <c r="Y25" s="21">
        <f>IFERROR((Y23-X23)/X23,"-")</f>
        <v/>
      </c>
    </row>
    <row r="26">
      <c r="B26" s="6" t="inlineStr">
        <is>
          <t>$ YoY</t>
        </is>
      </c>
      <c r="L26" s="17" t="n"/>
      <c r="M26" s="20">
        <f>M23-H23</f>
        <v/>
      </c>
      <c r="N26" s="20">
        <f>N23-I23</f>
        <v/>
      </c>
      <c r="O26" s="20">
        <f>O23-J23</f>
        <v/>
      </c>
      <c r="P26" s="20">
        <f>P23-K23</f>
        <v/>
      </c>
      <c r="Q26" s="23">
        <f>Q23-L23</f>
        <v/>
      </c>
      <c r="R26" s="27">
        <f>R23-M23</f>
        <v/>
      </c>
      <c r="S26" s="20">
        <f>S23-N23</f>
        <v/>
      </c>
      <c r="T26" s="20">
        <f>T23-O23</f>
        <v/>
      </c>
      <c r="U26" s="20">
        <f>U23-P23</f>
        <v/>
      </c>
      <c r="V26" s="23">
        <f>V23-Q23</f>
        <v/>
      </c>
      <c r="W26" s="20">
        <f>W23-R23</f>
        <v/>
      </c>
      <c r="X26" s="20">
        <f>X23-S23</f>
        <v/>
      </c>
      <c r="Y26" s="20">
        <f>Y23-T23</f>
        <v/>
      </c>
    </row>
    <row r="27">
      <c r="B27" s="6" t="inlineStr">
        <is>
          <t>$ QoQ</t>
        </is>
      </c>
      <c r="I27" s="20">
        <f>I23-H23</f>
        <v/>
      </c>
      <c r="J27" s="20">
        <f>J23-I23</f>
        <v/>
      </c>
      <c r="K27" s="20">
        <f>K23-J23</f>
        <v/>
      </c>
      <c r="L27" s="17" t="n"/>
      <c r="M27" s="20">
        <f>M23-K23</f>
        <v/>
      </c>
      <c r="N27" s="20">
        <f>N23-M23</f>
        <v/>
      </c>
      <c r="O27" s="20">
        <f>O23-N23</f>
        <v/>
      </c>
      <c r="P27" s="20">
        <f>P23-O23</f>
        <v/>
      </c>
      <c r="Q27" s="17" t="n"/>
      <c r="R27" s="27">
        <f>R23-P23</f>
        <v/>
      </c>
      <c r="S27" s="20">
        <f>S23-R23</f>
        <v/>
      </c>
      <c r="T27" s="20">
        <f>T23-S23</f>
        <v/>
      </c>
      <c r="U27" s="20">
        <f>U23-T23</f>
        <v/>
      </c>
      <c r="V27" s="17" t="n"/>
      <c r="W27" s="20">
        <f>W23-U23</f>
        <v/>
      </c>
      <c r="X27" s="20">
        <f>X23-W23</f>
        <v/>
      </c>
      <c r="Y27" s="20">
        <f>Y23-X23</f>
        <v/>
      </c>
    </row>
    <row r="28">
      <c r="L28" s="17" t="n"/>
      <c r="Q28" s="17" t="n"/>
      <c r="R28" s="18" t="n"/>
      <c r="V28" s="17" t="n"/>
    </row>
    <row r="29">
      <c r="A29" s="3" t="n"/>
      <c r="B29" s="4" t="inlineStr">
        <is>
          <t>BEAT VS CONSENSUS HISTORY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B30" s="5" t="inlineStr">
        <is>
          <t>Period</t>
        </is>
      </c>
      <c r="C30" s="5" t="inlineStr">
        <is>
          <t>Actual Revenue ($M)</t>
        </is>
      </c>
      <c r="D30" s="5" t="inlineStr">
        <is>
          <t>Consensus Est. ($M)</t>
        </is>
      </c>
      <c r="E30" s="5" t="inlineStr">
        <is>
          <t>Beat $</t>
        </is>
      </c>
      <c r="F30" s="5" t="inlineStr">
        <is>
          <t>Beat %</t>
        </is>
      </c>
      <c r="G30" s="5" t="inlineStr">
        <is>
          <t>Signal</t>
        </is>
      </c>
    </row>
    <row r="31">
      <c r="B31" s="6" t="inlineStr">
        <is>
          <t>2026-02-25</t>
        </is>
      </c>
      <c r="C31" s="19" t="n">
        <v>1283.994</v>
      </c>
      <c r="D31" s="19" t="n">
        <v>1256.722</v>
      </c>
      <c r="E31" s="20">
        <f>C31-D31</f>
        <v/>
      </c>
      <c r="F31" s="21">
        <f>IFERROR((C31-D31)/D31,"-")</f>
        <v/>
      </c>
      <c r="G31" s="8">
        <f>IF(F31&gt;0,"BEAT","MISS")</f>
        <v/>
      </c>
    </row>
    <row r="32">
      <c r="B32" s="6" t="inlineStr">
        <is>
          <t>2025-12-03</t>
        </is>
      </c>
      <c r="C32" s="19" t="n">
        <v>1212.909</v>
      </c>
      <c r="D32" s="19" t="n">
        <v>1184.340631</v>
      </c>
      <c r="E32" s="20">
        <f>C32-D32</f>
        <v/>
      </c>
      <c r="F32" s="21">
        <f>IFERROR((C32-D32)/D32,"-")</f>
        <v/>
      </c>
      <c r="G32" s="8">
        <f>IF(F32&gt;0,"BEAT","MISS")</f>
        <v/>
      </c>
    </row>
    <row r="33">
      <c r="B33" s="6" t="inlineStr">
        <is>
          <t>2025-08-27</t>
        </is>
      </c>
      <c r="C33" s="19" t="n">
        <v>1144.969</v>
      </c>
      <c r="D33" s="19" t="n">
        <v>1088.074125</v>
      </c>
      <c r="E33" s="20">
        <f>C33-D33</f>
        <v/>
      </c>
      <c r="F33" s="21">
        <f>IFERROR((C33-D33)/D33,"-")</f>
        <v/>
      </c>
      <c r="G33" s="8">
        <f>IF(F33&gt;0,"BEAT","MISS")</f>
        <v/>
      </c>
    </row>
    <row r="34">
      <c r="B34" s="6" t="inlineStr">
        <is>
          <t>2025-05-21</t>
        </is>
      </c>
      <c r="C34" s="19" t="n">
        <v>1042.074</v>
      </c>
      <c r="D34" s="19" t="n">
        <v>1006.299443</v>
      </c>
      <c r="E34" s="20">
        <f>C34-D34</f>
        <v/>
      </c>
      <c r="F34" s="21">
        <f>IFERROR((C34-D34)/D34,"-")</f>
        <v/>
      </c>
      <c r="G34" s="8">
        <f>IF(F34&gt;0,"BEAT","MISS")</f>
        <v/>
      </c>
    </row>
    <row r="35">
      <c r="B35" s="6" t="inlineStr">
        <is>
          <t>2025-02-26</t>
        </is>
      </c>
      <c r="C35" s="19" t="n">
        <v>986.77</v>
      </c>
      <c r="D35" s="19" t="n">
        <v>957.789207</v>
      </c>
      <c r="E35" s="20">
        <f>C35-D35</f>
        <v/>
      </c>
      <c r="F35" s="21">
        <f>IFERROR((C35-D35)/D35,"-")</f>
        <v/>
      </c>
      <c r="G35" s="8">
        <f>IF(F35&gt;0,"BEAT","MISS")</f>
        <v/>
      </c>
    </row>
    <row r="36">
      <c r="B36" s="6" t="inlineStr">
        <is>
          <t>2024-11-20</t>
        </is>
      </c>
      <c r="C36" s="19" t="n">
        <v>942.0940000000001</v>
      </c>
      <c r="D36" s="19" t="n">
        <v>899.3069850000001</v>
      </c>
      <c r="E36" s="20">
        <f>C36-D36</f>
        <v/>
      </c>
      <c r="F36" s="21">
        <f>IFERROR((C36-D36)/D36,"-")</f>
        <v/>
      </c>
      <c r="G36" s="8">
        <f>IF(F36&gt;0,"BEAT","MISS")</f>
        <v/>
      </c>
    </row>
    <row r="37">
      <c r="B37" s="6" t="inlineStr">
        <is>
          <t>2024-08-21</t>
        </is>
      </c>
      <c r="C37" s="19" t="n">
        <v>868.823</v>
      </c>
      <c r="D37" s="19" t="n">
        <v>853.111781</v>
      </c>
      <c r="E37" s="20">
        <f>C37-D37</f>
        <v/>
      </c>
      <c r="F37" s="21">
        <f>IFERROR((C37-D37)/D37,"-")</f>
        <v/>
      </c>
      <c r="G37" s="8">
        <f>IF(F37&gt;0,"BEAT","MISS")</f>
        <v/>
      </c>
    </row>
    <row r="38">
      <c r="B38" s="6" t="inlineStr">
        <is>
          <t>2024-05-22</t>
        </is>
      </c>
      <c r="C38" s="19" t="n">
        <v>828.7089999999999</v>
      </c>
      <c r="D38" s="19" t="n">
        <v>788.1030019999999</v>
      </c>
      <c r="E38" s="20">
        <f>C38-D38</f>
        <v/>
      </c>
      <c r="F38" s="21">
        <f>IFERROR((C38-D38)/D38,"-")</f>
        <v/>
      </c>
      <c r="G38" s="8">
        <f>IF(F38&gt;0,"BEAT","MISS")</f>
        <v/>
      </c>
    </row>
    <row r="40">
      <c r="B40" s="28" t="inlineStr">
        <is>
          <t>Memo: Beat Summary</t>
        </is>
      </c>
    </row>
    <row r="41">
      <c r="B41" s="6" t="inlineStr">
        <is>
          <t>Beat Rate %</t>
        </is>
      </c>
      <c r="C41" s="21">
        <f>IFERROR(COUNTIF(G31:G38,"BEAT")/COUNTA(G31:G38),"-")</f>
        <v/>
      </c>
    </row>
    <row r="42">
      <c r="B42" s="6" t="inlineStr">
        <is>
          <t>Avg Beat % (wins only)</t>
        </is>
      </c>
      <c r="C42" s="21">
        <f>IFERROR(AVERAGEIF(F31:F38,"&gt;"&amp;0),"-")</f>
        <v/>
      </c>
    </row>
    <row r="43">
      <c r="B43" s="6" t="inlineStr">
        <is>
          <t>Avg Miss % (losses only)</t>
        </is>
      </c>
      <c r="C43" s="21">
        <f>IFERROR(AVERAGEIF(F31:F38,"&lt;"&amp;0),"-")</f>
        <v/>
      </c>
    </row>
    <row r="44">
      <c r="B44" s="6" t="inlineStr">
        <is>
          <t>4Q Avg Beat %</t>
        </is>
      </c>
      <c r="C44" s="21">
        <f>IFERROR(AVERAGE(F31:F34),"-")</f>
        <v/>
      </c>
    </row>
    <row r="45">
      <c r="B45" s="6" t="inlineStr">
        <is>
          <t>8Q Avg Beat %</t>
        </is>
      </c>
      <c r="C45" s="21">
        <f>IFERROR(AVERAGE(F31:F38),"-")</f>
        <v/>
      </c>
    </row>
  </sheetData>
  <conditionalFormatting sqref="U20:Y20">
    <cfRule type="cellIs" priority="1" operator="equal" dxfId="0">
      <formula>"GUIDE ABOVE"</formula>
    </cfRule>
    <cfRule type="cellIs" priority="2" operator="equal" dxfId="1">
      <formula>"GUIDE BELOW"</formula>
    </cfRule>
    <cfRule type="cellIs" priority="3" operator="equal" dxfId="2">
      <formula>"IN-LINE"</formula>
    </cfRule>
  </conditionalFormatting>
  <conditionalFormatting sqref="G31:G38">
    <cfRule type="cellIs" priority="4" operator="equal" dxfId="0">
      <formula>"BEAT"</formula>
    </cfRule>
    <cfRule type="cellIs" priority="5" operator="equal" dxfId="1">
      <formula>"MISS"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5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</cols>
  <sheetData>
    <row r="1">
      <c r="B1" s="1" t="inlineStr">
        <is>
          <t>DDOG: KIN Base Case Operating Model</t>
        </is>
      </c>
    </row>
    <row r="2">
      <c r="B2" s="2" t="inlineStr">
        <is>
          <t>USD in Millions Unless Stated Otherwise</t>
        </is>
      </c>
    </row>
    <row r="3">
      <c r="B3" s="6" t="inlineStr">
        <is>
          <t>Beat Cadence (%)</t>
        </is>
      </c>
      <c r="C3" s="7" t="n">
        <v>0.0349</v>
      </c>
    </row>
    <row r="4">
      <c r="B4" s="6" t="inlineStr">
        <is>
          <t>Beat Window</t>
        </is>
      </c>
      <c r="C4" s="10" t="inlineStr">
        <is>
          <t>8Q</t>
        </is>
      </c>
    </row>
    <row r="5">
      <c r="B5" s="6" t="inlineStr">
        <is>
          <t>Momentum</t>
        </is>
      </c>
      <c r="C5" s="10" t="inlineStr">
        <is>
          <t>STABLE</t>
        </is>
      </c>
    </row>
    <row r="6">
      <c r="B6" s="6" t="inlineStr">
        <is>
          <t>Trailing YoY</t>
        </is>
      </c>
      <c r="C6" s="11" t="n">
        <v>0.2757</v>
      </c>
    </row>
    <row r="12">
      <c r="H12" s="12" t="inlineStr">
        <is>
          <t>Q1-24</t>
        </is>
      </c>
      <c r="I12" s="12" t="inlineStr">
        <is>
          <t>Q2-24</t>
        </is>
      </c>
      <c r="J12" s="12" t="inlineStr">
        <is>
          <t>Q3-24</t>
        </is>
      </c>
      <c r="K12" s="12" t="inlineStr">
        <is>
          <t>Q4-24</t>
        </is>
      </c>
      <c r="L12" s="13" t="inlineStr">
        <is>
          <t>FY24</t>
        </is>
      </c>
      <c r="M12" s="12" t="inlineStr">
        <is>
          <t>Q1-25</t>
        </is>
      </c>
      <c r="N12" s="12" t="inlineStr">
        <is>
          <t>Q2-25</t>
        </is>
      </c>
      <c r="O12" s="12" t="inlineStr">
        <is>
          <t>Q3-25</t>
        </is>
      </c>
      <c r="P12" s="14" t="inlineStr">
        <is>
          <t>Q4-25</t>
        </is>
      </c>
      <c r="Q12" s="13" t="inlineStr">
        <is>
          <t>FY25</t>
        </is>
      </c>
      <c r="R12" s="12" t="inlineStr">
        <is>
          <t>Q1-26E</t>
        </is>
      </c>
      <c r="S12" s="12" t="inlineStr">
        <is>
          <t>Q2-26E</t>
        </is>
      </c>
      <c r="T12" s="12" t="inlineStr">
        <is>
          <t>Q3-26E</t>
        </is>
      </c>
      <c r="U12" s="12" t="inlineStr">
        <is>
          <t>Q4-26E</t>
        </is>
      </c>
      <c r="V12" s="13" t="inlineStr">
        <is>
          <t>FY26E</t>
        </is>
      </c>
      <c r="W12" s="12" t="inlineStr">
        <is>
          <t>Q1-27E</t>
        </is>
      </c>
      <c r="X12" s="12" t="inlineStr">
        <is>
          <t>Q2-27E</t>
        </is>
      </c>
    </row>
    <row r="13">
      <c r="A13" s="3" t="n"/>
      <c r="B13" s="4" t="inlineStr">
        <is>
          <t>GUIDE INFERENCE  |  DDOG  |  Beat Cadence: +3.5% (8Q)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15" t="n"/>
      <c r="M13" s="3" t="n"/>
      <c r="N13" s="3" t="n"/>
      <c r="O13" s="3" t="n"/>
      <c r="P13" s="16" t="n"/>
      <c r="Q13" s="15" t="n"/>
      <c r="R13" s="3" t="n"/>
      <c r="S13" s="3" t="n"/>
      <c r="T13" s="3" t="n"/>
      <c r="U13" s="3" t="n"/>
      <c r="V13" s="15" t="n"/>
      <c r="W13" s="3" t="n"/>
      <c r="X13" s="3" t="n"/>
    </row>
    <row r="14">
      <c r="B14" s="6" t="inlineStr">
        <is>
          <t>Memo: Consensus</t>
        </is>
      </c>
      <c r="L14" s="17" t="n"/>
      <c r="P14" s="18" t="n"/>
      <c r="Q14" s="17" t="n"/>
      <c r="T14" s="19" t="n">
        <v>1047.131542</v>
      </c>
      <c r="U14" s="19" t="n">
        <v>1112.342692</v>
      </c>
      <c r="V14" s="17" t="n"/>
      <c r="W14" s="19" t="n">
        <v>1141.098607</v>
      </c>
      <c r="X14" s="19" t="n">
        <v>1182.08157</v>
      </c>
    </row>
    <row r="15">
      <c r="B15" s="6" t="inlineStr">
        <is>
          <t>KIN Est. Proj. $ QoQ</t>
        </is>
      </c>
      <c r="L15" s="17" t="n"/>
      <c r="P15" s="18" t="n"/>
      <c r="Q15" s="17" t="n"/>
      <c r="U15" s="19" t="n">
        <v>67.54300000000001</v>
      </c>
      <c r="V15" s="17" t="n"/>
      <c r="W15" s="19" t="n">
        <v>23.826</v>
      </c>
      <c r="X15" s="19" t="n">
        <v>67.16321000000001</v>
      </c>
    </row>
    <row r="16">
      <c r="B16" s="6" t="inlineStr">
        <is>
          <t>KIN Est. Projected Actual</t>
        </is>
      </c>
      <c r="L16" s="17" t="n"/>
      <c r="P16" s="18" t="n"/>
      <c r="Q16" s="17" t="n"/>
      <c r="T16" s="20">
        <f>T14*(1+$C$3)</f>
        <v/>
      </c>
      <c r="U16" s="20">
        <f>T16+U15</f>
        <v/>
      </c>
      <c r="V16" s="17" t="n"/>
      <c r="W16" s="20">
        <f>U16+W15</f>
        <v/>
      </c>
      <c r="X16" s="20">
        <f>W16+X15</f>
        <v/>
      </c>
    </row>
    <row r="17">
      <c r="B17" s="6" t="inlineStr">
        <is>
          <t>KIN Est. Implied Guide</t>
        </is>
      </c>
      <c r="L17" s="17" t="n"/>
      <c r="P17" s="18" t="n"/>
      <c r="Q17" s="17" t="n"/>
      <c r="T17" s="20">
        <f>T16/(1+$C$3)</f>
        <v/>
      </c>
      <c r="U17" s="20">
        <f>U16/(1+$C$3)</f>
        <v/>
      </c>
      <c r="V17" s="17" t="n"/>
      <c r="W17" s="20">
        <f>W16/(1+$C$3)</f>
        <v/>
      </c>
      <c r="X17" s="20">
        <f>X16/(1+$C$3)</f>
        <v/>
      </c>
    </row>
    <row r="18">
      <c r="B18" s="6" t="inlineStr">
        <is>
          <t>Gap $</t>
        </is>
      </c>
      <c r="L18" s="17" t="n"/>
      <c r="P18" s="18" t="n"/>
      <c r="Q18" s="17" t="n"/>
      <c r="T18" s="20">
        <f>T17-T14</f>
        <v/>
      </c>
      <c r="U18" s="20">
        <f>U17-U14</f>
        <v/>
      </c>
      <c r="V18" s="17" t="n"/>
      <c r="W18" s="20">
        <f>W17-W14</f>
        <v/>
      </c>
      <c r="X18" s="20">
        <f>X17-X14</f>
        <v/>
      </c>
    </row>
    <row r="19">
      <c r="B19" s="6" t="inlineStr">
        <is>
          <t>Gap %</t>
        </is>
      </c>
      <c r="L19" s="17" t="n"/>
      <c r="P19" s="18" t="n"/>
      <c r="Q19" s="17" t="n"/>
      <c r="T19" s="21">
        <f>IFERROR(T18/T14,"-")</f>
        <v/>
      </c>
      <c r="U19" s="21">
        <f>IFERROR(U18/U14,"-")</f>
        <v/>
      </c>
      <c r="V19" s="17" t="n"/>
      <c r="W19" s="21">
        <f>IFERROR(W18/W14,"-")</f>
        <v/>
      </c>
      <c r="X19" s="21">
        <f>IFERROR(X18/X14,"-")</f>
        <v/>
      </c>
    </row>
    <row r="20">
      <c r="B20" s="6" t="inlineStr">
        <is>
          <t>Signal</t>
        </is>
      </c>
      <c r="L20" s="17" t="n"/>
      <c r="P20" s="18" t="n"/>
      <c r="Q20" s="17" t="n"/>
      <c r="T20" s="22">
        <f>IF(T19&gt;0.02,"GUIDE ABOVE",IF(T19&lt;-0.02,"GUIDE BELOW","IN-LINE"))</f>
        <v/>
      </c>
      <c r="U20" s="22">
        <f>IF(U19&gt;0.02,"GUIDE ABOVE",IF(U19&lt;-0.02,"GUIDE BELOW","IN-LINE"))</f>
        <v/>
      </c>
      <c r="V20" s="17" t="n"/>
      <c r="W20" s="22">
        <f>IF(W19&gt;0.02,"GUIDE ABOVE",IF(W19&lt;-0.02,"GUIDE BELOW","IN-LINE"))</f>
        <v/>
      </c>
      <c r="X20" s="22">
        <f>IF(X19&gt;0.02,"GUIDE ABOVE",IF(X19&lt;-0.02,"GUIDE BELOW","IN-LINE"))</f>
        <v/>
      </c>
    </row>
    <row r="21">
      <c r="L21" s="17" t="n"/>
      <c r="P21" s="18" t="n"/>
      <c r="Q21" s="17" t="n"/>
      <c r="V21" s="17" t="n"/>
    </row>
    <row r="22">
      <c r="A22" s="3" t="n"/>
      <c r="B22" s="4" t="inlineStr">
        <is>
          <t>REVENUE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15" t="n"/>
      <c r="M22" s="3" t="n"/>
      <c r="N22" s="3" t="n"/>
      <c r="O22" s="3" t="n"/>
      <c r="P22" s="16" t="n"/>
      <c r="Q22" s="15" t="n"/>
      <c r="R22" s="3" t="n"/>
      <c r="S22" s="3" t="n"/>
      <c r="T22" s="3" t="n"/>
      <c r="U22" s="3" t="n"/>
      <c r="V22" s="15" t="n"/>
      <c r="W22" s="3" t="n"/>
      <c r="X22" s="3" t="n"/>
    </row>
    <row r="23">
      <c r="B23" s="6" t="inlineStr">
        <is>
          <t>Revenue</t>
        </is>
      </c>
      <c r="H23" s="19" t="n">
        <v>611.253</v>
      </c>
      <c r="I23" s="19" t="n">
        <v>645.279</v>
      </c>
      <c r="J23" s="19" t="n">
        <v>690.016</v>
      </c>
      <c r="K23" s="19" t="n">
        <v>737.727</v>
      </c>
      <c r="L23" s="23">
        <f>SUM(H23:K23)</f>
        <v/>
      </c>
      <c r="M23" s="19" t="n">
        <v>761.553</v>
      </c>
      <c r="N23" s="19" t="n">
        <v>826.76</v>
      </c>
      <c r="O23" s="19" t="n">
        <v>885.651</v>
      </c>
      <c r="P23" s="24" t="n">
        <v>953.194</v>
      </c>
      <c r="Q23" s="23">
        <f>SUM(M23:P23)</f>
        <v/>
      </c>
      <c r="R23" s="19" t="n">
        <v>977.02</v>
      </c>
      <c r="S23" s="19" t="n">
        <v>1044.18321</v>
      </c>
      <c r="T23" s="19" t="n">
        <v>1103.07421</v>
      </c>
      <c r="U23" s="19" t="n">
        <v>1170.61721</v>
      </c>
      <c r="V23" s="23">
        <f>SUM(R23:U23)</f>
        <v/>
      </c>
    </row>
    <row r="24">
      <c r="B24" s="6" t="inlineStr">
        <is>
          <t>% YoY</t>
        </is>
      </c>
      <c r="L24" s="17" t="n"/>
      <c r="M24" s="21">
        <f>IFERROR((M23-H23)/H23,"-")</f>
        <v/>
      </c>
      <c r="N24" s="21">
        <f>IFERROR((N23-I23)/I23,"-")</f>
        <v/>
      </c>
      <c r="O24" s="21">
        <f>IFERROR((O23-J23)/J23,"-")</f>
        <v/>
      </c>
      <c r="P24" s="26">
        <f>IFERROR((P23-K23)/K23,"-")</f>
        <v/>
      </c>
      <c r="Q24" s="25">
        <f>IFERROR((Q23-L23)/L23,"-")</f>
        <v/>
      </c>
      <c r="R24" s="21">
        <f>IFERROR((R23-M23)/M23,"-")</f>
        <v/>
      </c>
      <c r="S24" s="21">
        <f>IFERROR((S23-N23)/N23,"-")</f>
        <v/>
      </c>
      <c r="T24" s="21">
        <f>IFERROR((T23-O23)/O23,"-")</f>
        <v/>
      </c>
      <c r="U24" s="21">
        <f>IFERROR((U23-P23)/P23,"-")</f>
        <v/>
      </c>
      <c r="V24" s="25">
        <f>IFERROR((V23-Q23)/Q23,"-")</f>
        <v/>
      </c>
      <c r="W24" s="21">
        <f>IFERROR((W23-R23)/R23,"-")</f>
        <v/>
      </c>
      <c r="X24" s="21">
        <f>IFERROR((X23-S23)/S23,"-")</f>
        <v/>
      </c>
    </row>
    <row r="25">
      <c r="B25" s="6" t="inlineStr">
        <is>
          <t>% QoQ</t>
        </is>
      </c>
      <c r="I25" s="21">
        <f>IFERROR((I23-H23)/H23,"-")</f>
        <v/>
      </c>
      <c r="J25" s="21">
        <f>IFERROR((J23-I23)/I23,"-")</f>
        <v/>
      </c>
      <c r="K25" s="21">
        <f>IFERROR((K23-J23)/J23,"-")</f>
        <v/>
      </c>
      <c r="L25" s="17" t="n"/>
      <c r="M25" s="21">
        <f>IFERROR((M23-K23)/K23,"-")</f>
        <v/>
      </c>
      <c r="N25" s="21">
        <f>IFERROR((N23-M23)/M23,"-")</f>
        <v/>
      </c>
      <c r="O25" s="21">
        <f>IFERROR((O23-N23)/N23,"-")</f>
        <v/>
      </c>
      <c r="P25" s="26">
        <f>IFERROR((P23-O23)/O23,"-")</f>
        <v/>
      </c>
      <c r="Q25" s="17" t="n"/>
      <c r="R25" s="21">
        <f>IFERROR((R23-P23)/P23,"-")</f>
        <v/>
      </c>
      <c r="S25" s="21">
        <f>IFERROR((S23-R23)/R23,"-")</f>
        <v/>
      </c>
      <c r="T25" s="21">
        <f>IFERROR((T23-S23)/S23,"-")</f>
        <v/>
      </c>
      <c r="U25" s="21">
        <f>IFERROR((U23-T23)/T23,"-")</f>
        <v/>
      </c>
      <c r="V25" s="17" t="n"/>
      <c r="W25" s="21">
        <f>IFERROR((W23-U23)/U23,"-")</f>
        <v/>
      </c>
      <c r="X25" s="21">
        <f>IFERROR((X23-W23)/W23,"-")</f>
        <v/>
      </c>
    </row>
    <row r="26">
      <c r="B26" s="6" t="inlineStr">
        <is>
          <t>$ YoY</t>
        </is>
      </c>
      <c r="L26" s="17" t="n"/>
      <c r="M26" s="20">
        <f>M23-H23</f>
        <v/>
      </c>
      <c r="N26" s="20">
        <f>N23-I23</f>
        <v/>
      </c>
      <c r="O26" s="20">
        <f>O23-J23</f>
        <v/>
      </c>
      <c r="P26" s="27">
        <f>P23-K23</f>
        <v/>
      </c>
      <c r="Q26" s="23">
        <f>Q23-L23</f>
        <v/>
      </c>
      <c r="R26" s="20">
        <f>R23-M23</f>
        <v/>
      </c>
      <c r="S26" s="20">
        <f>S23-N23</f>
        <v/>
      </c>
      <c r="T26" s="20">
        <f>T23-O23</f>
        <v/>
      </c>
      <c r="U26" s="20">
        <f>U23-P23</f>
        <v/>
      </c>
      <c r="V26" s="23">
        <f>V23-Q23</f>
        <v/>
      </c>
      <c r="W26" s="20">
        <f>W23-R23</f>
        <v/>
      </c>
      <c r="X26" s="20">
        <f>X23-S23</f>
        <v/>
      </c>
    </row>
    <row r="27">
      <c r="B27" s="6" t="inlineStr">
        <is>
          <t>$ QoQ</t>
        </is>
      </c>
      <c r="I27" s="20">
        <f>I23-H23</f>
        <v/>
      </c>
      <c r="J27" s="20">
        <f>J23-I23</f>
        <v/>
      </c>
      <c r="K27" s="20">
        <f>K23-J23</f>
        <v/>
      </c>
      <c r="L27" s="17" t="n"/>
      <c r="M27" s="20">
        <f>M23-K23</f>
        <v/>
      </c>
      <c r="N27" s="20">
        <f>N23-M23</f>
        <v/>
      </c>
      <c r="O27" s="20">
        <f>O23-N23</f>
        <v/>
      </c>
      <c r="P27" s="27">
        <f>P23-O23</f>
        <v/>
      </c>
      <c r="Q27" s="17" t="n"/>
      <c r="R27" s="20">
        <f>R23-P23</f>
        <v/>
      </c>
      <c r="S27" s="20">
        <f>S23-R23</f>
        <v/>
      </c>
      <c r="T27" s="20">
        <f>T23-S23</f>
        <v/>
      </c>
      <c r="U27" s="20">
        <f>U23-T23</f>
        <v/>
      </c>
      <c r="V27" s="17" t="n"/>
      <c r="W27" s="20">
        <f>W23-U23</f>
        <v/>
      </c>
      <c r="X27" s="20">
        <f>X23-W23</f>
        <v/>
      </c>
    </row>
    <row r="28">
      <c r="L28" s="17" t="n"/>
      <c r="P28" s="18" t="n"/>
      <c r="Q28" s="17" t="n"/>
      <c r="V28" s="17" t="n"/>
    </row>
    <row r="29">
      <c r="A29" s="3" t="n"/>
      <c r="B29" s="4" t="inlineStr">
        <is>
          <t>BEAT VS CONSENSUS HISTORY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>
      <c r="B30" s="5" t="inlineStr">
        <is>
          <t>Period</t>
        </is>
      </c>
      <c r="C30" s="5" t="inlineStr">
        <is>
          <t>Actual Revenue ($M)</t>
        </is>
      </c>
      <c r="D30" s="5" t="inlineStr">
        <is>
          <t>Consensus Est. ($M)</t>
        </is>
      </c>
      <c r="E30" s="5" t="inlineStr">
        <is>
          <t>Beat $</t>
        </is>
      </c>
      <c r="F30" s="5" t="inlineStr">
        <is>
          <t>Beat %</t>
        </is>
      </c>
      <c r="G30" s="5" t="inlineStr">
        <is>
          <t>Signal</t>
        </is>
      </c>
    </row>
    <row r="31">
      <c r="B31" s="6" t="inlineStr">
        <is>
          <t>2026-02-10</t>
        </is>
      </c>
      <c r="C31" s="19" t="n">
        <v>953.194</v>
      </c>
      <c r="D31" s="19" t="n">
        <v>918.7008</v>
      </c>
      <c r="E31" s="20">
        <f>C31-D31</f>
        <v/>
      </c>
      <c r="F31" s="21">
        <f>IFERROR((C31-D31)/D31,"-")</f>
        <v/>
      </c>
      <c r="G31" s="8">
        <f>IF(F31&gt;0,"BEAT","MISS")</f>
        <v/>
      </c>
    </row>
    <row r="32">
      <c r="B32" s="6" t="inlineStr">
        <is>
          <t>2025-11-06</t>
        </is>
      </c>
      <c r="C32" s="19" t="n">
        <v>885.651</v>
      </c>
      <c r="D32" s="19" t="n">
        <v>852.761661</v>
      </c>
      <c r="E32" s="20">
        <f>C32-D32</f>
        <v/>
      </c>
      <c r="F32" s="21">
        <f>IFERROR((C32-D32)/D32,"-")</f>
        <v/>
      </c>
      <c r="G32" s="8">
        <f>IF(F32&gt;0,"BEAT","MISS")</f>
        <v/>
      </c>
    </row>
    <row r="33">
      <c r="B33" s="6" t="inlineStr">
        <is>
          <t>2025-08-07</t>
        </is>
      </c>
      <c r="C33" s="19" t="n">
        <v>826.76</v>
      </c>
      <c r="D33" s="19" t="n">
        <v>791.123833</v>
      </c>
      <c r="E33" s="20">
        <f>C33-D33</f>
        <v/>
      </c>
      <c r="F33" s="21">
        <f>IFERROR((C33-D33)/D33,"-")</f>
        <v/>
      </c>
      <c r="G33" s="8">
        <f>IF(F33&gt;0,"BEAT","MISS")</f>
        <v/>
      </c>
    </row>
    <row r="34">
      <c r="B34" s="6" t="inlineStr">
        <is>
          <t>2025-05-06</t>
        </is>
      </c>
      <c r="C34" s="19" t="n">
        <v>761.553</v>
      </c>
      <c r="D34" s="19" t="n">
        <v>741.413084</v>
      </c>
      <c r="E34" s="20">
        <f>C34-D34</f>
        <v/>
      </c>
      <c r="F34" s="21">
        <f>IFERROR((C34-D34)/D34,"-")</f>
        <v/>
      </c>
      <c r="G34" s="8">
        <f>IF(F34&gt;0,"BEAT","MISS")</f>
        <v/>
      </c>
    </row>
    <row r="35">
      <c r="B35" s="6" t="inlineStr">
        <is>
          <t>2025-02-13</t>
        </is>
      </c>
      <c r="C35" s="19" t="n">
        <v>737.727</v>
      </c>
      <c r="D35" s="19" t="n">
        <v>715.178777</v>
      </c>
      <c r="E35" s="20">
        <f>C35-D35</f>
        <v/>
      </c>
      <c r="F35" s="21">
        <f>IFERROR((C35-D35)/D35,"-")</f>
        <v/>
      </c>
      <c r="G35" s="8">
        <f>IF(F35&gt;0,"BEAT","MISS")</f>
        <v/>
      </c>
    </row>
    <row r="36">
      <c r="B36" s="6" t="inlineStr">
        <is>
          <t>2024-11-07</t>
        </is>
      </c>
      <c r="C36" s="19" t="n">
        <v>690.016</v>
      </c>
      <c r="D36" s="19" t="n">
        <v>665.041144</v>
      </c>
      <c r="E36" s="20">
        <f>C36-D36</f>
        <v/>
      </c>
      <c r="F36" s="21">
        <f>IFERROR((C36-D36)/D36,"-")</f>
        <v/>
      </c>
      <c r="G36" s="8">
        <f>IF(F36&gt;0,"BEAT","MISS")</f>
        <v/>
      </c>
    </row>
    <row r="37">
      <c r="B37" s="6" t="inlineStr">
        <is>
          <t>2024-08-08</t>
        </is>
      </c>
      <c r="C37" s="19" t="n">
        <v>645.279</v>
      </c>
      <c r="D37" s="19" t="n">
        <v>626.8917290000001</v>
      </c>
      <c r="E37" s="20">
        <f>C37-D37</f>
        <v/>
      </c>
      <c r="F37" s="21">
        <f>IFERROR((C37-D37)/D37,"-")</f>
        <v/>
      </c>
      <c r="G37" s="8">
        <f>IF(F37&gt;0,"BEAT","MISS")</f>
        <v/>
      </c>
    </row>
    <row r="38">
      <c r="B38" s="6" t="inlineStr">
        <is>
          <t>2024-05-07</t>
        </is>
      </c>
      <c r="C38" s="19" t="n">
        <v>611.253</v>
      </c>
      <c r="D38" s="19" t="n">
        <v>592.031855</v>
      </c>
      <c r="E38" s="20">
        <f>C38-D38</f>
        <v/>
      </c>
      <c r="F38" s="21">
        <f>IFERROR((C38-D38)/D38,"-")</f>
        <v/>
      </c>
      <c r="G38" s="8">
        <f>IF(F38&gt;0,"BEAT","MISS")</f>
        <v/>
      </c>
    </row>
    <row r="40">
      <c r="B40" s="28" t="inlineStr">
        <is>
          <t>Memo: Beat Summary</t>
        </is>
      </c>
    </row>
    <row r="41">
      <c r="B41" s="6" t="inlineStr">
        <is>
          <t>Beat Rate %</t>
        </is>
      </c>
      <c r="C41" s="21">
        <f>IFERROR(COUNTIF(G31:G38,"BEAT")/COUNTA(G31:G38),"-")</f>
        <v/>
      </c>
    </row>
    <row r="42">
      <c r="B42" s="6" t="inlineStr">
        <is>
          <t>Avg Beat % (wins only)</t>
        </is>
      </c>
      <c r="C42" s="21">
        <f>IFERROR(AVERAGEIF(F31:F38,"&gt;"&amp;0),"-")</f>
        <v/>
      </c>
    </row>
    <row r="43">
      <c r="B43" s="6" t="inlineStr">
        <is>
          <t>Avg Miss % (losses only)</t>
        </is>
      </c>
      <c r="C43" s="21">
        <f>IFERROR(AVERAGEIF(F31:F38,"&lt;"&amp;0),"-")</f>
        <v/>
      </c>
    </row>
    <row r="44">
      <c r="B44" s="6" t="inlineStr">
        <is>
          <t>4Q Avg Beat %</t>
        </is>
      </c>
      <c r="C44" s="21">
        <f>IFERROR(AVERAGE(F31:F34),"-")</f>
        <v/>
      </c>
    </row>
    <row r="45">
      <c r="B45" s="6" t="inlineStr">
        <is>
          <t>8Q Avg Beat %</t>
        </is>
      </c>
      <c r="C45" s="21">
        <f>IFERROR(AVERAGE(F31:F38),"-")</f>
        <v/>
      </c>
    </row>
  </sheetData>
  <conditionalFormatting sqref="T20:X20">
    <cfRule type="cellIs" priority="1" operator="equal" dxfId="0">
      <formula>"GUIDE ABOVE"</formula>
    </cfRule>
    <cfRule type="cellIs" priority="2" operator="equal" dxfId="1">
      <formula>"GUIDE BELOW"</formula>
    </cfRule>
    <cfRule type="cellIs" priority="3" operator="equal" dxfId="2">
      <formula>"IN-LINE"</formula>
    </cfRule>
  </conditionalFormatting>
  <conditionalFormatting sqref="G31:G38">
    <cfRule type="cellIs" priority="4" operator="equal" dxfId="0">
      <formula>"BEAT"</formula>
    </cfRule>
    <cfRule type="cellIs" priority="5" operator="equal" dxfId="1">
      <formula>"MISS"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5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</cols>
  <sheetData>
    <row r="1">
      <c r="B1" s="1" t="inlineStr">
        <is>
          <t>MDB: KIN Base Case Operating Model</t>
        </is>
      </c>
    </row>
    <row r="2">
      <c r="B2" s="2" t="inlineStr">
        <is>
          <t>USD in Millions Unless Stated Otherwise</t>
        </is>
      </c>
    </row>
    <row r="3">
      <c r="B3" s="6" t="inlineStr">
        <is>
          <t>Beat Cadence (%)</t>
        </is>
      </c>
      <c r="C3" s="7" t="n">
        <v>0.0505</v>
      </c>
    </row>
    <row r="4">
      <c r="B4" s="6" t="inlineStr">
        <is>
          <t>Beat Window</t>
        </is>
      </c>
      <c r="C4" s="10" t="inlineStr">
        <is>
          <t>4Q</t>
        </is>
      </c>
    </row>
    <row r="5">
      <c r="B5" s="6" t="inlineStr">
        <is>
          <t>Momentum</t>
        </is>
      </c>
      <c r="C5" s="10" t="inlineStr">
        <is>
          <t>STABLE</t>
        </is>
      </c>
    </row>
    <row r="6">
      <c r="B6" s="6" t="inlineStr">
        <is>
          <t>Trailing YoY</t>
        </is>
      </c>
      <c r="C6" s="11" t="n">
        <v>0.2275</v>
      </c>
    </row>
    <row r="12">
      <c r="H12" s="12" t="inlineStr">
        <is>
          <t>Q1-24</t>
        </is>
      </c>
      <c r="I12" s="12" t="inlineStr">
        <is>
          <t>Q2-24</t>
        </is>
      </c>
      <c r="J12" s="12" t="inlineStr">
        <is>
          <t>Q3-24</t>
        </is>
      </c>
      <c r="K12" s="12" t="inlineStr">
        <is>
          <t>Q4-24</t>
        </is>
      </c>
      <c r="L12" s="13" t="inlineStr">
        <is>
          <t>FY24</t>
        </is>
      </c>
      <c r="M12" s="12" t="inlineStr">
        <is>
          <t>Q1-25</t>
        </is>
      </c>
      <c r="N12" s="12" t="inlineStr">
        <is>
          <t>Q2-25</t>
        </is>
      </c>
      <c r="O12" s="12" t="inlineStr">
        <is>
          <t>Q3-25</t>
        </is>
      </c>
      <c r="P12" s="12" t="inlineStr">
        <is>
          <t>Q4-25</t>
        </is>
      </c>
      <c r="Q12" s="13" t="inlineStr">
        <is>
          <t>FY25</t>
        </is>
      </c>
      <c r="R12" s="14" t="inlineStr">
        <is>
          <t>Q1-26</t>
        </is>
      </c>
      <c r="S12" s="12" t="inlineStr">
        <is>
          <t>Q2-26E</t>
        </is>
      </c>
      <c r="T12" s="12" t="inlineStr">
        <is>
          <t>Q3-26E</t>
        </is>
      </c>
      <c r="U12" s="12" t="inlineStr">
        <is>
          <t>Q4-26E</t>
        </is>
      </c>
      <c r="V12" s="13" t="inlineStr">
        <is>
          <t>FY26E</t>
        </is>
      </c>
      <c r="W12" s="12" t="inlineStr">
        <is>
          <t>Q1-27E</t>
        </is>
      </c>
      <c r="X12" s="12" t="inlineStr">
        <is>
          <t>Q2-27E</t>
        </is>
      </c>
      <c r="Y12" s="12" t="inlineStr">
        <is>
          <t>Q3-27E</t>
        </is>
      </c>
    </row>
    <row r="13">
      <c r="A13" s="3" t="n"/>
      <c r="B13" s="4" t="inlineStr">
        <is>
          <t>GUIDE INFERENCE  |  MDB  |  Beat Cadence: +5.0% (4Q)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15" t="n"/>
      <c r="M13" s="3" t="n"/>
      <c r="N13" s="3" t="n"/>
      <c r="O13" s="3" t="n"/>
      <c r="P13" s="3" t="n"/>
      <c r="Q13" s="15" t="n"/>
      <c r="R13" s="16" t="n"/>
      <c r="S13" s="3" t="n"/>
      <c r="T13" s="3" t="n"/>
      <c r="U13" s="3" t="n"/>
      <c r="V13" s="15" t="n"/>
      <c r="W13" s="3" t="n"/>
      <c r="X13" s="3" t="n"/>
      <c r="Y13" s="3" t="n"/>
    </row>
    <row r="14">
      <c r="B14" s="6" t="inlineStr">
        <is>
          <t>Memo: Consensus</t>
        </is>
      </c>
      <c r="L14" s="17" t="n"/>
      <c r="Q14" s="17" t="n"/>
      <c r="R14" s="18" t="n"/>
      <c r="U14" s="19" t="n">
        <v>796.660813</v>
      </c>
      <c r="V14" s="17" t="n"/>
      <c r="W14" s="19" t="n">
        <v>777.207293</v>
      </c>
      <c r="X14" s="19" t="n">
        <v>821.786545</v>
      </c>
      <c r="Y14" s="19" t="n">
        <v>867.668451</v>
      </c>
    </row>
    <row r="15">
      <c r="B15" s="6" t="inlineStr">
        <is>
          <t>KIN Est. Proj. $ QoQ</t>
        </is>
      </c>
      <c r="L15" s="17" t="n"/>
      <c r="Q15" s="17" t="n"/>
      <c r="R15" s="18" t="n"/>
      <c r="V15" s="17" t="n"/>
      <c r="W15" s="19" t="n">
        <v>31.509036</v>
      </c>
      <c r="X15" s="19" t="n">
        <v>0.616</v>
      </c>
      <c r="Y15" s="19" t="n">
        <v>42.388</v>
      </c>
    </row>
    <row r="16">
      <c r="B16" s="6" t="inlineStr">
        <is>
          <t>KIN Est. Projected Actual</t>
        </is>
      </c>
      <c r="L16" s="17" t="n"/>
      <c r="Q16" s="17" t="n"/>
      <c r="R16" s="18" t="n"/>
      <c r="U16" s="20">
        <f>U14*(1+$C$3)</f>
        <v/>
      </c>
      <c r="V16" s="17" t="n"/>
      <c r="W16" s="20">
        <f>U16+W15</f>
        <v/>
      </c>
      <c r="X16" s="20">
        <f>W16+X15</f>
        <v/>
      </c>
      <c r="Y16" s="20">
        <f>X16+Y15</f>
        <v/>
      </c>
    </row>
    <row r="17">
      <c r="B17" s="6" t="inlineStr">
        <is>
          <t>KIN Est. Implied Guide</t>
        </is>
      </c>
      <c r="L17" s="17" t="n"/>
      <c r="Q17" s="17" t="n"/>
      <c r="R17" s="18" t="n"/>
      <c r="U17" s="20">
        <f>U16/(1+$C$3)</f>
        <v/>
      </c>
      <c r="V17" s="17" t="n"/>
      <c r="W17" s="20">
        <f>W16/(1+$C$3)</f>
        <v/>
      </c>
      <c r="X17" s="20">
        <f>X16/(1+$C$3)</f>
        <v/>
      </c>
      <c r="Y17" s="20">
        <f>Y16/(1+$C$3)</f>
        <v/>
      </c>
    </row>
    <row r="18">
      <c r="B18" s="6" t="inlineStr">
        <is>
          <t>Gap $</t>
        </is>
      </c>
      <c r="L18" s="17" t="n"/>
      <c r="Q18" s="17" t="n"/>
      <c r="R18" s="18" t="n"/>
      <c r="U18" s="20">
        <f>U17-U14</f>
        <v/>
      </c>
      <c r="V18" s="17" t="n"/>
      <c r="W18" s="20">
        <f>W17-W14</f>
        <v/>
      </c>
      <c r="X18" s="20">
        <f>X17-X14</f>
        <v/>
      </c>
      <c r="Y18" s="20">
        <f>Y17-Y14</f>
        <v/>
      </c>
    </row>
    <row r="19">
      <c r="B19" s="6" t="inlineStr">
        <is>
          <t>Gap %</t>
        </is>
      </c>
      <c r="L19" s="17" t="n"/>
      <c r="Q19" s="17" t="n"/>
      <c r="R19" s="18" t="n"/>
      <c r="U19" s="21">
        <f>IFERROR(U18/U14,"-")</f>
        <v/>
      </c>
      <c r="V19" s="17" t="n"/>
      <c r="W19" s="21">
        <f>IFERROR(W18/W14,"-")</f>
        <v/>
      </c>
      <c r="X19" s="21">
        <f>IFERROR(X18/X14,"-")</f>
        <v/>
      </c>
      <c r="Y19" s="21">
        <f>IFERROR(Y18/Y14,"-")</f>
        <v/>
      </c>
    </row>
    <row r="20">
      <c r="B20" s="6" t="inlineStr">
        <is>
          <t>Signal</t>
        </is>
      </c>
      <c r="L20" s="17" t="n"/>
      <c r="Q20" s="17" t="n"/>
      <c r="R20" s="18" t="n"/>
      <c r="U20" s="22">
        <f>IF(U19&gt;0.02,"GUIDE ABOVE",IF(U19&lt;-0.02,"GUIDE BELOW","IN-LINE"))</f>
        <v/>
      </c>
      <c r="V20" s="17" t="n"/>
      <c r="W20" s="22">
        <f>IF(W19&gt;0.02,"GUIDE ABOVE",IF(W19&lt;-0.02,"GUIDE BELOW","IN-LINE"))</f>
        <v/>
      </c>
      <c r="X20" s="22">
        <f>IF(X19&gt;0.02,"GUIDE ABOVE",IF(X19&lt;-0.02,"GUIDE BELOW","IN-LINE"))</f>
        <v/>
      </c>
      <c r="Y20" s="22">
        <f>IF(Y19&gt;0.02,"GUIDE ABOVE",IF(Y19&lt;-0.02,"GUIDE BELOW","IN-LINE"))</f>
        <v/>
      </c>
    </row>
    <row r="21">
      <c r="L21" s="17" t="n"/>
      <c r="Q21" s="17" t="n"/>
      <c r="R21" s="18" t="n"/>
      <c r="V21" s="17" t="n"/>
    </row>
    <row r="22">
      <c r="A22" s="3" t="n"/>
      <c r="B22" s="4" t="inlineStr">
        <is>
          <t>REVENUE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15" t="n"/>
      <c r="M22" s="3" t="n"/>
      <c r="N22" s="3" t="n"/>
      <c r="O22" s="3" t="n"/>
      <c r="P22" s="3" t="n"/>
      <c r="Q22" s="15" t="n"/>
      <c r="R22" s="16" t="n"/>
      <c r="S22" s="3" t="n"/>
      <c r="T22" s="3" t="n"/>
      <c r="U22" s="3" t="n"/>
      <c r="V22" s="15" t="n"/>
      <c r="W22" s="3" t="n"/>
      <c r="X22" s="3" t="n"/>
      <c r="Y22" s="3" t="n"/>
    </row>
    <row r="23">
      <c r="B23" s="6" t="inlineStr">
        <is>
          <t>Revenue</t>
        </is>
      </c>
      <c r="H23" s="19" t="n">
        <v>458.002</v>
      </c>
      <c r="I23" s="19" t="n">
        <v>450.561</v>
      </c>
      <c r="J23" s="19" t="n">
        <v>478.109</v>
      </c>
      <c r="K23" s="19" t="n">
        <v>529.375</v>
      </c>
      <c r="L23" s="23">
        <f>SUM(H23:K23)</f>
        <v/>
      </c>
      <c r="M23" s="19" t="n">
        <v>548.398</v>
      </c>
      <c r="N23" s="19" t="n">
        <v>549.014</v>
      </c>
      <c r="O23" s="19" t="n">
        <v>591.402</v>
      </c>
      <c r="P23" s="19" t="n">
        <v>628.309</v>
      </c>
      <c r="Q23" s="23">
        <f>SUM(M23:P23)</f>
        <v/>
      </c>
      <c r="R23" s="24" t="n">
        <v>695.072</v>
      </c>
      <c r="S23" s="19" t="n">
        <v>695.688</v>
      </c>
      <c r="T23" s="19" t="n">
        <v>738.076</v>
      </c>
      <c r="U23" s="19" t="n">
        <v>774.9829999999999</v>
      </c>
      <c r="V23" s="23">
        <f>SUM(R23:U23)</f>
        <v/>
      </c>
      <c r="W23" s="19" t="n">
        <v>806.492036</v>
      </c>
    </row>
    <row r="24">
      <c r="B24" s="6" t="inlineStr">
        <is>
          <t>% YoY</t>
        </is>
      </c>
      <c r="L24" s="17" t="n"/>
      <c r="M24" s="21">
        <f>IFERROR((M23-H23)/H23,"-")</f>
        <v/>
      </c>
      <c r="N24" s="21">
        <f>IFERROR((N23-I23)/I23,"-")</f>
        <v/>
      </c>
      <c r="O24" s="21">
        <f>IFERROR((O23-J23)/J23,"-")</f>
        <v/>
      </c>
      <c r="P24" s="21">
        <f>IFERROR((P23-K23)/K23,"-")</f>
        <v/>
      </c>
      <c r="Q24" s="25">
        <f>IFERROR((Q23-L23)/L23,"-")</f>
        <v/>
      </c>
      <c r="R24" s="26">
        <f>IFERROR((R23-M23)/M23,"-")</f>
        <v/>
      </c>
      <c r="S24" s="21">
        <f>IFERROR((S23-N23)/N23,"-")</f>
        <v/>
      </c>
      <c r="T24" s="21">
        <f>IFERROR((T23-O23)/O23,"-")</f>
        <v/>
      </c>
      <c r="U24" s="21">
        <f>IFERROR((U23-P23)/P23,"-")</f>
        <v/>
      </c>
      <c r="V24" s="25">
        <f>IFERROR((V23-Q23)/Q23,"-")</f>
        <v/>
      </c>
      <c r="W24" s="21">
        <f>IFERROR((W23-R23)/R23,"-")</f>
        <v/>
      </c>
      <c r="X24" s="21">
        <f>IFERROR((X23-S23)/S23,"-")</f>
        <v/>
      </c>
      <c r="Y24" s="21">
        <f>IFERROR((Y23-T23)/T23,"-")</f>
        <v/>
      </c>
    </row>
    <row r="25">
      <c r="B25" s="6" t="inlineStr">
        <is>
          <t>% QoQ</t>
        </is>
      </c>
      <c r="I25" s="21">
        <f>IFERROR((I23-H23)/H23,"-")</f>
        <v/>
      </c>
      <c r="J25" s="21">
        <f>IFERROR((J23-I23)/I23,"-")</f>
        <v/>
      </c>
      <c r="K25" s="21">
        <f>IFERROR((K23-J23)/J23,"-")</f>
        <v/>
      </c>
      <c r="L25" s="17" t="n"/>
      <c r="M25" s="21">
        <f>IFERROR((M23-K23)/K23,"-")</f>
        <v/>
      </c>
      <c r="N25" s="21">
        <f>IFERROR((N23-M23)/M23,"-")</f>
        <v/>
      </c>
      <c r="O25" s="21">
        <f>IFERROR((O23-N23)/N23,"-")</f>
        <v/>
      </c>
      <c r="P25" s="21">
        <f>IFERROR((P23-O23)/O23,"-")</f>
        <v/>
      </c>
      <c r="Q25" s="17" t="n"/>
      <c r="R25" s="26">
        <f>IFERROR((R23-P23)/P23,"-")</f>
        <v/>
      </c>
      <c r="S25" s="21">
        <f>IFERROR((S23-R23)/R23,"-")</f>
        <v/>
      </c>
      <c r="T25" s="21">
        <f>IFERROR((T23-S23)/S23,"-")</f>
        <v/>
      </c>
      <c r="U25" s="21">
        <f>IFERROR((U23-T23)/T23,"-")</f>
        <v/>
      </c>
      <c r="V25" s="17" t="n"/>
      <c r="W25" s="21">
        <f>IFERROR((W23-U23)/U23,"-")</f>
        <v/>
      </c>
      <c r="X25" s="21">
        <f>IFERROR((X23-W23)/W23,"-")</f>
        <v/>
      </c>
      <c r="Y25" s="21">
        <f>IFERROR((Y23-X23)/X23,"-")</f>
        <v/>
      </c>
    </row>
    <row r="26">
      <c r="B26" s="6" t="inlineStr">
        <is>
          <t>$ YoY</t>
        </is>
      </c>
      <c r="L26" s="17" t="n"/>
      <c r="M26" s="20">
        <f>M23-H23</f>
        <v/>
      </c>
      <c r="N26" s="20">
        <f>N23-I23</f>
        <v/>
      </c>
      <c r="O26" s="20">
        <f>O23-J23</f>
        <v/>
      </c>
      <c r="P26" s="20">
        <f>P23-K23</f>
        <v/>
      </c>
      <c r="Q26" s="23">
        <f>Q23-L23</f>
        <v/>
      </c>
      <c r="R26" s="27">
        <f>R23-M23</f>
        <v/>
      </c>
      <c r="S26" s="20">
        <f>S23-N23</f>
        <v/>
      </c>
      <c r="T26" s="20">
        <f>T23-O23</f>
        <v/>
      </c>
      <c r="U26" s="20">
        <f>U23-P23</f>
        <v/>
      </c>
      <c r="V26" s="23">
        <f>V23-Q23</f>
        <v/>
      </c>
      <c r="W26" s="20">
        <f>W23-R23</f>
        <v/>
      </c>
      <c r="X26" s="20">
        <f>X23-S23</f>
        <v/>
      </c>
      <c r="Y26" s="20">
        <f>Y23-T23</f>
        <v/>
      </c>
    </row>
    <row r="27">
      <c r="B27" s="6" t="inlineStr">
        <is>
          <t>$ QoQ</t>
        </is>
      </c>
      <c r="I27" s="20">
        <f>I23-H23</f>
        <v/>
      </c>
      <c r="J27" s="20">
        <f>J23-I23</f>
        <v/>
      </c>
      <c r="K27" s="20">
        <f>K23-J23</f>
        <v/>
      </c>
      <c r="L27" s="17" t="n"/>
      <c r="M27" s="20">
        <f>M23-K23</f>
        <v/>
      </c>
      <c r="N27" s="20">
        <f>N23-M23</f>
        <v/>
      </c>
      <c r="O27" s="20">
        <f>O23-N23</f>
        <v/>
      </c>
      <c r="P27" s="20">
        <f>P23-O23</f>
        <v/>
      </c>
      <c r="Q27" s="17" t="n"/>
      <c r="R27" s="27">
        <f>R23-P23</f>
        <v/>
      </c>
      <c r="S27" s="20">
        <f>S23-R23</f>
        <v/>
      </c>
      <c r="T27" s="20">
        <f>T23-S23</f>
        <v/>
      </c>
      <c r="U27" s="20">
        <f>U23-T23</f>
        <v/>
      </c>
      <c r="V27" s="17" t="n"/>
      <c r="W27" s="20">
        <f>W23-U23</f>
        <v/>
      </c>
      <c r="X27" s="20">
        <f>X23-W23</f>
        <v/>
      </c>
      <c r="Y27" s="20">
        <f>Y23-X23</f>
        <v/>
      </c>
    </row>
    <row r="28">
      <c r="L28" s="17" t="n"/>
      <c r="Q28" s="17" t="n"/>
      <c r="R28" s="18" t="n"/>
      <c r="V28" s="17" t="n"/>
    </row>
    <row r="29">
      <c r="A29" s="3" t="n"/>
      <c r="B29" s="4" t="inlineStr">
        <is>
          <t>BEAT VS CONSENSUS HISTORY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B30" s="5" t="inlineStr">
        <is>
          <t>Period</t>
        </is>
      </c>
      <c r="C30" s="5" t="inlineStr">
        <is>
          <t>Actual Revenue ($M)</t>
        </is>
      </c>
      <c r="D30" s="5" t="inlineStr">
        <is>
          <t>Consensus Est. ($M)</t>
        </is>
      </c>
      <c r="E30" s="5" t="inlineStr">
        <is>
          <t>Beat $</t>
        </is>
      </c>
      <c r="F30" s="5" t="inlineStr">
        <is>
          <t>Beat %</t>
        </is>
      </c>
      <c r="G30" s="5" t="inlineStr">
        <is>
          <t>Signal</t>
        </is>
      </c>
    </row>
    <row r="31">
      <c r="B31" s="6" t="inlineStr">
        <is>
          <t>2026-03-02</t>
        </is>
      </c>
      <c r="C31" s="19" t="n">
        <v>695.072</v>
      </c>
      <c r="D31" s="19" t="n">
        <v>670.0789</v>
      </c>
      <c r="E31" s="20">
        <f>C31-D31</f>
        <v/>
      </c>
      <c r="F31" s="21">
        <f>IFERROR((C31-D31)/D31,"-")</f>
        <v/>
      </c>
      <c r="G31" s="8">
        <f>IF(F31&gt;0,"BEAT","MISS")</f>
        <v/>
      </c>
    </row>
    <row r="32">
      <c r="B32" s="6" t="inlineStr">
        <is>
          <t>2025-12-01</t>
        </is>
      </c>
      <c r="C32" s="19" t="n">
        <v>628.309</v>
      </c>
      <c r="D32" s="19" t="n">
        <v>593.933257</v>
      </c>
      <c r="E32" s="20">
        <f>C32-D32</f>
        <v/>
      </c>
      <c r="F32" s="21">
        <f>IFERROR((C32-D32)/D32,"-")</f>
        <v/>
      </c>
      <c r="G32" s="8">
        <f>IF(F32&gt;0,"BEAT","MISS")</f>
        <v/>
      </c>
    </row>
    <row r="33">
      <c r="B33" s="6" t="inlineStr">
        <is>
          <t>2025-08-26</t>
        </is>
      </c>
      <c r="C33" s="19" t="n">
        <v>591.402</v>
      </c>
      <c r="D33" s="19" t="n">
        <v>554.058888</v>
      </c>
      <c r="E33" s="20">
        <f>C33-D33</f>
        <v/>
      </c>
      <c r="F33" s="21">
        <f>IFERROR((C33-D33)/D33,"-")</f>
        <v/>
      </c>
      <c r="G33" s="8">
        <f>IF(F33&gt;0,"BEAT","MISS")</f>
        <v/>
      </c>
    </row>
    <row r="34">
      <c r="B34" s="6" t="inlineStr">
        <is>
          <t>2025-06-04</t>
        </is>
      </c>
      <c r="C34" s="19" t="n">
        <v>549.014</v>
      </c>
      <c r="D34" s="19" t="n">
        <v>528.120261</v>
      </c>
      <c r="E34" s="20">
        <f>C34-D34</f>
        <v/>
      </c>
      <c r="F34" s="21">
        <f>IFERROR((C34-D34)/D34,"-")</f>
        <v/>
      </c>
      <c r="G34" s="8">
        <f>IF(F34&gt;0,"BEAT","MISS")</f>
        <v/>
      </c>
    </row>
    <row r="35">
      <c r="B35" s="6" t="inlineStr">
        <is>
          <t>2025-03-05</t>
        </is>
      </c>
      <c r="C35" s="19" t="n">
        <v>548.398</v>
      </c>
      <c r="D35" s="19" t="n">
        <v>520.645893</v>
      </c>
      <c r="E35" s="20">
        <f>C35-D35</f>
        <v/>
      </c>
      <c r="F35" s="21">
        <f>IFERROR((C35-D35)/D35,"-")</f>
        <v/>
      </c>
      <c r="G35" s="8">
        <f>IF(F35&gt;0,"BEAT","MISS")</f>
        <v/>
      </c>
    </row>
    <row r="36">
      <c r="B36" s="6" t="inlineStr">
        <is>
          <t>2024-12-09</t>
        </is>
      </c>
      <c r="C36" s="19" t="n">
        <v>529.375</v>
      </c>
      <c r="D36" s="19" t="n">
        <v>497.241186</v>
      </c>
      <c r="E36" s="20">
        <f>C36-D36</f>
        <v/>
      </c>
      <c r="F36" s="21">
        <f>IFERROR((C36-D36)/D36,"-")</f>
        <v/>
      </c>
      <c r="G36" s="8">
        <f>IF(F36&gt;0,"BEAT","MISS")</f>
        <v/>
      </c>
    </row>
    <row r="37">
      <c r="B37" s="6" t="inlineStr">
        <is>
          <t>2024-08-29</t>
        </is>
      </c>
      <c r="C37" s="19" t="n">
        <v>478.109</v>
      </c>
      <c r="D37" s="19" t="n">
        <v>465.028269</v>
      </c>
      <c r="E37" s="20">
        <f>C37-D37</f>
        <v/>
      </c>
      <c r="F37" s="21">
        <f>IFERROR((C37-D37)/D37,"-")</f>
        <v/>
      </c>
      <c r="G37" s="8">
        <f>IF(F37&gt;0,"BEAT","MISS")</f>
        <v/>
      </c>
    </row>
    <row r="38">
      <c r="B38" s="6" t="inlineStr">
        <is>
          <t>2024-05-30</t>
        </is>
      </c>
      <c r="C38" s="19" t="n">
        <v>450.561</v>
      </c>
      <c r="D38" s="19" t="n">
        <v>441.441095</v>
      </c>
      <c r="E38" s="20">
        <f>C38-D38</f>
        <v/>
      </c>
      <c r="F38" s="21">
        <f>IFERROR((C38-D38)/D38,"-")</f>
        <v/>
      </c>
      <c r="G38" s="8">
        <f>IF(F38&gt;0,"BEAT","MISS")</f>
        <v/>
      </c>
    </row>
    <row r="40">
      <c r="B40" s="28" t="inlineStr">
        <is>
          <t>Memo: Beat Summary</t>
        </is>
      </c>
    </row>
    <row r="41">
      <c r="B41" s="6" t="inlineStr">
        <is>
          <t>Beat Rate %</t>
        </is>
      </c>
      <c r="C41" s="21">
        <f>IFERROR(COUNTIF(G31:G38,"BEAT")/COUNTA(G31:G38),"-")</f>
        <v/>
      </c>
    </row>
    <row r="42">
      <c r="B42" s="6" t="inlineStr">
        <is>
          <t>Avg Beat % (wins only)</t>
        </is>
      </c>
      <c r="C42" s="21">
        <f>IFERROR(AVERAGEIF(F31:F38,"&gt;"&amp;0),"-")</f>
        <v/>
      </c>
    </row>
    <row r="43">
      <c r="B43" s="6" t="inlineStr">
        <is>
          <t>Avg Miss % (losses only)</t>
        </is>
      </c>
      <c r="C43" s="21">
        <f>IFERROR(AVERAGEIF(F31:F38,"&lt;"&amp;0),"-")</f>
        <v/>
      </c>
    </row>
    <row r="44">
      <c r="B44" s="6" t="inlineStr">
        <is>
          <t>4Q Avg Beat %</t>
        </is>
      </c>
      <c r="C44" s="21">
        <f>IFERROR(AVERAGE(F31:F34),"-")</f>
        <v/>
      </c>
    </row>
    <row r="45">
      <c r="B45" s="6" t="inlineStr">
        <is>
          <t>8Q Avg Beat %</t>
        </is>
      </c>
      <c r="C45" s="21">
        <f>IFERROR(AVERAGE(F31:F38),"-")</f>
        <v/>
      </c>
    </row>
  </sheetData>
  <conditionalFormatting sqref="U20:Y20">
    <cfRule type="cellIs" priority="1" operator="equal" dxfId="0">
      <formula>"GUIDE ABOVE"</formula>
    </cfRule>
    <cfRule type="cellIs" priority="2" operator="equal" dxfId="1">
      <formula>"GUIDE BELOW"</formula>
    </cfRule>
    <cfRule type="cellIs" priority="3" operator="equal" dxfId="2">
      <formula>"IN-LINE"</formula>
    </cfRule>
  </conditionalFormatting>
  <conditionalFormatting sqref="G31:G38">
    <cfRule type="cellIs" priority="4" operator="equal" dxfId="0">
      <formula>"BEAT"</formula>
    </cfRule>
    <cfRule type="cellIs" priority="5" operator="equal" dxfId="1">
      <formula>"MISS"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5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</cols>
  <sheetData>
    <row r="1">
      <c r="B1" s="1" t="inlineStr">
        <is>
          <t>TENB: KIN Base Case Operating Model</t>
        </is>
      </c>
    </row>
    <row r="2">
      <c r="B2" s="2" t="inlineStr">
        <is>
          <t>USD in Millions Unless Stated Otherwise</t>
        </is>
      </c>
    </row>
    <row r="3">
      <c r="B3" s="6" t="inlineStr">
        <is>
          <t>Beat Cadence (%)</t>
        </is>
      </c>
      <c r="C3" s="7" t="n">
        <v>0.0171</v>
      </c>
    </row>
    <row r="4">
      <c r="B4" s="6" t="inlineStr">
        <is>
          <t>Beat Window</t>
        </is>
      </c>
      <c r="C4" s="10" t="inlineStr">
        <is>
          <t>4Q</t>
        </is>
      </c>
    </row>
    <row r="5">
      <c r="B5" s="6" t="inlineStr">
        <is>
          <t>Momentum</t>
        </is>
      </c>
      <c r="C5" s="10" t="inlineStr">
        <is>
          <t>STABLE</t>
        </is>
      </c>
    </row>
    <row r="6">
      <c r="B6" s="6" t="inlineStr">
        <is>
          <t>Trailing YoY</t>
        </is>
      </c>
      <c r="C6" s="11" t="n">
        <v>0.1105</v>
      </c>
    </row>
    <row r="12">
      <c r="H12" s="12" t="inlineStr">
        <is>
          <t>Q1-24</t>
        </is>
      </c>
      <c r="I12" s="12" t="inlineStr">
        <is>
          <t>Q2-24</t>
        </is>
      </c>
      <c r="J12" s="12" t="inlineStr">
        <is>
          <t>Q3-24</t>
        </is>
      </c>
      <c r="K12" s="12" t="inlineStr">
        <is>
          <t>Q4-24</t>
        </is>
      </c>
      <c r="L12" s="13" t="inlineStr">
        <is>
          <t>FY24</t>
        </is>
      </c>
      <c r="M12" s="12" t="inlineStr">
        <is>
          <t>Q1-25</t>
        </is>
      </c>
      <c r="N12" s="12" t="inlineStr">
        <is>
          <t>Q2-25</t>
        </is>
      </c>
      <c r="O12" s="12" t="inlineStr">
        <is>
          <t>Q3-25</t>
        </is>
      </c>
      <c r="P12" s="14" t="inlineStr">
        <is>
          <t>Q4-25</t>
        </is>
      </c>
      <c r="Q12" s="13" t="inlineStr">
        <is>
          <t>FY25</t>
        </is>
      </c>
      <c r="R12" s="12" t="inlineStr">
        <is>
          <t>Q1-26E</t>
        </is>
      </c>
      <c r="S12" s="12" t="inlineStr">
        <is>
          <t>Q2-26E</t>
        </is>
      </c>
      <c r="T12" s="12" t="inlineStr">
        <is>
          <t>Q3-26E</t>
        </is>
      </c>
      <c r="U12" s="12" t="inlineStr">
        <is>
          <t>Q4-26E</t>
        </is>
      </c>
      <c r="V12" s="13" t="inlineStr">
        <is>
          <t>FY26E</t>
        </is>
      </c>
      <c r="W12" s="12" t="inlineStr">
        <is>
          <t>Q1-27E</t>
        </is>
      </c>
      <c r="X12" s="12" t="inlineStr">
        <is>
          <t>Q2-27E</t>
        </is>
      </c>
    </row>
    <row r="13">
      <c r="A13" s="3" t="n"/>
      <c r="B13" s="4" t="inlineStr">
        <is>
          <t>GUIDE INFERENCE  |  TENB  |  Beat Cadence: +1.7% (4Q)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15" t="n"/>
      <c r="M13" s="3" t="n"/>
      <c r="N13" s="3" t="n"/>
      <c r="O13" s="3" t="n"/>
      <c r="P13" s="16" t="n"/>
      <c r="Q13" s="15" t="n"/>
      <c r="R13" s="3" t="n"/>
      <c r="S13" s="3" t="n"/>
      <c r="T13" s="3" t="n"/>
      <c r="U13" s="3" t="n"/>
      <c r="V13" s="15" t="n"/>
      <c r="W13" s="3" t="n"/>
      <c r="X13" s="3" t="n"/>
    </row>
    <row r="14">
      <c r="B14" s="6" t="inlineStr">
        <is>
          <t>Memo: Consensus</t>
        </is>
      </c>
      <c r="L14" s="17" t="n"/>
      <c r="P14" s="18" t="n"/>
      <c r="Q14" s="17" t="n"/>
      <c r="T14" s="19" t="n">
        <v>269.71966</v>
      </c>
      <c r="U14" s="19" t="n">
        <v>277.697987</v>
      </c>
      <c r="V14" s="17" t="n"/>
      <c r="W14" s="19" t="n">
        <v>278.284263</v>
      </c>
      <c r="X14" s="19" t="n">
        <v>284.189349</v>
      </c>
    </row>
    <row r="15">
      <c r="B15" s="6" t="inlineStr">
        <is>
          <t>KIN Est. Proj. $ QoQ</t>
        </is>
      </c>
      <c r="L15" s="17" t="n"/>
      <c r="P15" s="18" t="n"/>
      <c r="Q15" s="17" t="n"/>
      <c r="U15" s="19" t="n">
        <v>8.674666999999999</v>
      </c>
      <c r="V15" s="17" t="n"/>
      <c r="W15" s="19" t="n">
        <v>3.50818</v>
      </c>
      <c r="X15" s="19" t="n">
        <v>8.157999999999999</v>
      </c>
    </row>
    <row r="16">
      <c r="B16" s="6" t="inlineStr">
        <is>
          <t>KIN Est. Projected Actual</t>
        </is>
      </c>
      <c r="L16" s="17" t="n"/>
      <c r="P16" s="18" t="n"/>
      <c r="Q16" s="17" t="n"/>
      <c r="T16" s="20">
        <f>T14*(1+$C$3)</f>
        <v/>
      </c>
      <c r="U16" s="20">
        <f>T16+U15</f>
        <v/>
      </c>
      <c r="V16" s="17" t="n"/>
      <c r="W16" s="20">
        <f>U16+W15</f>
        <v/>
      </c>
      <c r="X16" s="20">
        <f>W16+X15</f>
        <v/>
      </c>
    </row>
    <row r="17">
      <c r="B17" s="6" t="inlineStr">
        <is>
          <t>KIN Est. Implied Guide</t>
        </is>
      </c>
      <c r="L17" s="17" t="n"/>
      <c r="P17" s="18" t="n"/>
      <c r="Q17" s="17" t="n"/>
      <c r="T17" s="20">
        <f>T16/(1+$C$3)</f>
        <v/>
      </c>
      <c r="U17" s="20">
        <f>U16/(1+$C$3)</f>
        <v/>
      </c>
      <c r="V17" s="17" t="n"/>
      <c r="W17" s="20">
        <f>W16/(1+$C$3)</f>
        <v/>
      </c>
      <c r="X17" s="20">
        <f>X16/(1+$C$3)</f>
        <v/>
      </c>
    </row>
    <row r="18">
      <c r="B18" s="6" t="inlineStr">
        <is>
          <t>Gap $</t>
        </is>
      </c>
      <c r="L18" s="17" t="n"/>
      <c r="P18" s="18" t="n"/>
      <c r="Q18" s="17" t="n"/>
      <c r="T18" s="20">
        <f>T17-T14</f>
        <v/>
      </c>
      <c r="U18" s="20">
        <f>U17-U14</f>
        <v/>
      </c>
      <c r="V18" s="17" t="n"/>
      <c r="W18" s="20">
        <f>W17-W14</f>
        <v/>
      </c>
      <c r="X18" s="20">
        <f>X17-X14</f>
        <v/>
      </c>
    </row>
    <row r="19">
      <c r="B19" s="6" t="inlineStr">
        <is>
          <t>Gap %</t>
        </is>
      </c>
      <c r="L19" s="17" t="n"/>
      <c r="P19" s="18" t="n"/>
      <c r="Q19" s="17" t="n"/>
      <c r="T19" s="21">
        <f>IFERROR(T18/T14,"-")</f>
        <v/>
      </c>
      <c r="U19" s="21">
        <f>IFERROR(U18/U14,"-")</f>
        <v/>
      </c>
      <c r="V19" s="17" t="n"/>
      <c r="W19" s="21">
        <f>IFERROR(W18/W14,"-")</f>
        <v/>
      </c>
      <c r="X19" s="21">
        <f>IFERROR(X18/X14,"-")</f>
        <v/>
      </c>
    </row>
    <row r="20">
      <c r="B20" s="6" t="inlineStr">
        <is>
          <t>Signal</t>
        </is>
      </c>
      <c r="L20" s="17" t="n"/>
      <c r="P20" s="18" t="n"/>
      <c r="Q20" s="17" t="n"/>
      <c r="T20" s="22">
        <f>IF(T19&gt;0.02,"GUIDE ABOVE",IF(T19&lt;-0.02,"GUIDE BELOW","IN-LINE"))</f>
        <v/>
      </c>
      <c r="U20" s="22">
        <f>IF(U19&gt;0.02,"GUIDE ABOVE",IF(U19&lt;-0.02,"GUIDE BELOW","IN-LINE"))</f>
        <v/>
      </c>
      <c r="V20" s="17" t="n"/>
      <c r="W20" s="22">
        <f>IF(W19&gt;0.02,"GUIDE ABOVE",IF(W19&lt;-0.02,"GUIDE BELOW","IN-LINE"))</f>
        <v/>
      </c>
      <c r="X20" s="22">
        <f>IF(X19&gt;0.02,"GUIDE ABOVE",IF(X19&lt;-0.02,"GUIDE BELOW","IN-LINE"))</f>
        <v/>
      </c>
    </row>
    <row r="21">
      <c r="L21" s="17" t="n"/>
      <c r="P21" s="18" t="n"/>
      <c r="Q21" s="17" t="n"/>
      <c r="V21" s="17" t="n"/>
    </row>
    <row r="22">
      <c r="A22" s="3" t="n"/>
      <c r="B22" s="4" t="inlineStr">
        <is>
          <t>REVENUE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15" t="n"/>
      <c r="M22" s="3" t="n"/>
      <c r="N22" s="3" t="n"/>
      <c r="O22" s="3" t="n"/>
      <c r="P22" s="16" t="n"/>
      <c r="Q22" s="15" t="n"/>
      <c r="R22" s="3" t="n"/>
      <c r="S22" s="3" t="n"/>
      <c r="T22" s="3" t="n"/>
      <c r="U22" s="3" t="n"/>
      <c r="V22" s="15" t="n"/>
      <c r="W22" s="3" t="n"/>
      <c r="X22" s="3" t="n"/>
    </row>
    <row r="23">
      <c r="B23" s="6" t="inlineStr">
        <is>
          <t>Revenue</t>
        </is>
      </c>
      <c r="H23" s="19" t="n">
        <v>215.961</v>
      </c>
      <c r="I23" s="19" t="n">
        <v>221.241</v>
      </c>
      <c r="J23" s="19" t="n">
        <v>227.088</v>
      </c>
      <c r="K23" s="19" t="n">
        <v>235.731</v>
      </c>
      <c r="L23" s="23">
        <f>SUM(H23:K23)</f>
        <v/>
      </c>
      <c r="M23" s="19" t="n">
        <v>239.137</v>
      </c>
      <c r="N23" s="19" t="n">
        <v>247.295</v>
      </c>
      <c r="O23" s="19" t="n">
        <v>252.44</v>
      </c>
      <c r="P23" s="24" t="n">
        <v>260.533</v>
      </c>
      <c r="Q23" s="23">
        <f>SUM(M23:P23)</f>
        <v/>
      </c>
      <c r="R23" s="19" t="n">
        <v>264.04118</v>
      </c>
      <c r="S23" s="19" t="n">
        <v>272.19918</v>
      </c>
      <c r="T23" s="19" t="n">
        <v>278.862291</v>
      </c>
      <c r="U23" s="19" t="n">
        <v>287.536958</v>
      </c>
      <c r="V23" s="23">
        <f>SUM(R23:U23)</f>
        <v/>
      </c>
    </row>
    <row r="24">
      <c r="B24" s="6" t="inlineStr">
        <is>
          <t>% YoY</t>
        </is>
      </c>
      <c r="L24" s="17" t="n"/>
      <c r="M24" s="21">
        <f>IFERROR((M23-H23)/H23,"-")</f>
        <v/>
      </c>
      <c r="N24" s="21">
        <f>IFERROR((N23-I23)/I23,"-")</f>
        <v/>
      </c>
      <c r="O24" s="21">
        <f>IFERROR((O23-J23)/J23,"-")</f>
        <v/>
      </c>
      <c r="P24" s="26">
        <f>IFERROR((P23-K23)/K23,"-")</f>
        <v/>
      </c>
      <c r="Q24" s="25">
        <f>IFERROR((Q23-L23)/L23,"-")</f>
        <v/>
      </c>
      <c r="R24" s="21">
        <f>IFERROR((R23-M23)/M23,"-")</f>
        <v/>
      </c>
      <c r="S24" s="21">
        <f>IFERROR((S23-N23)/N23,"-")</f>
        <v/>
      </c>
      <c r="T24" s="21">
        <f>IFERROR((T23-O23)/O23,"-")</f>
        <v/>
      </c>
      <c r="U24" s="21">
        <f>IFERROR((U23-P23)/P23,"-")</f>
        <v/>
      </c>
      <c r="V24" s="25">
        <f>IFERROR((V23-Q23)/Q23,"-")</f>
        <v/>
      </c>
      <c r="W24" s="21">
        <f>IFERROR((W23-R23)/R23,"-")</f>
        <v/>
      </c>
      <c r="X24" s="21">
        <f>IFERROR((X23-S23)/S23,"-")</f>
        <v/>
      </c>
    </row>
    <row r="25">
      <c r="B25" s="6" t="inlineStr">
        <is>
          <t>% QoQ</t>
        </is>
      </c>
      <c r="I25" s="21">
        <f>IFERROR((I23-H23)/H23,"-")</f>
        <v/>
      </c>
      <c r="J25" s="21">
        <f>IFERROR((J23-I23)/I23,"-")</f>
        <v/>
      </c>
      <c r="K25" s="21">
        <f>IFERROR((K23-J23)/J23,"-")</f>
        <v/>
      </c>
      <c r="L25" s="17" t="n"/>
      <c r="M25" s="21">
        <f>IFERROR((M23-K23)/K23,"-")</f>
        <v/>
      </c>
      <c r="N25" s="21">
        <f>IFERROR((N23-M23)/M23,"-")</f>
        <v/>
      </c>
      <c r="O25" s="21">
        <f>IFERROR((O23-N23)/N23,"-")</f>
        <v/>
      </c>
      <c r="P25" s="26">
        <f>IFERROR((P23-O23)/O23,"-")</f>
        <v/>
      </c>
      <c r="Q25" s="17" t="n"/>
      <c r="R25" s="21">
        <f>IFERROR((R23-P23)/P23,"-")</f>
        <v/>
      </c>
      <c r="S25" s="21">
        <f>IFERROR((S23-R23)/R23,"-")</f>
        <v/>
      </c>
      <c r="T25" s="21">
        <f>IFERROR((T23-S23)/S23,"-")</f>
        <v/>
      </c>
      <c r="U25" s="21">
        <f>IFERROR((U23-T23)/T23,"-")</f>
        <v/>
      </c>
      <c r="V25" s="17" t="n"/>
      <c r="W25" s="21">
        <f>IFERROR((W23-U23)/U23,"-")</f>
        <v/>
      </c>
      <c r="X25" s="21">
        <f>IFERROR((X23-W23)/W23,"-")</f>
        <v/>
      </c>
    </row>
    <row r="26">
      <c r="B26" s="6" t="inlineStr">
        <is>
          <t>$ YoY</t>
        </is>
      </c>
      <c r="L26" s="17" t="n"/>
      <c r="M26" s="20">
        <f>M23-H23</f>
        <v/>
      </c>
      <c r="N26" s="20">
        <f>N23-I23</f>
        <v/>
      </c>
      <c r="O26" s="20">
        <f>O23-J23</f>
        <v/>
      </c>
      <c r="P26" s="27">
        <f>P23-K23</f>
        <v/>
      </c>
      <c r="Q26" s="23">
        <f>Q23-L23</f>
        <v/>
      </c>
      <c r="R26" s="20">
        <f>R23-M23</f>
        <v/>
      </c>
      <c r="S26" s="20">
        <f>S23-N23</f>
        <v/>
      </c>
      <c r="T26" s="20">
        <f>T23-O23</f>
        <v/>
      </c>
      <c r="U26" s="20">
        <f>U23-P23</f>
        <v/>
      </c>
      <c r="V26" s="23">
        <f>V23-Q23</f>
        <v/>
      </c>
      <c r="W26" s="20">
        <f>W23-R23</f>
        <v/>
      </c>
      <c r="X26" s="20">
        <f>X23-S23</f>
        <v/>
      </c>
    </row>
    <row r="27">
      <c r="B27" s="6" t="inlineStr">
        <is>
          <t>$ QoQ</t>
        </is>
      </c>
      <c r="I27" s="20">
        <f>I23-H23</f>
        <v/>
      </c>
      <c r="J27" s="20">
        <f>J23-I23</f>
        <v/>
      </c>
      <c r="K27" s="20">
        <f>K23-J23</f>
        <v/>
      </c>
      <c r="L27" s="17" t="n"/>
      <c r="M27" s="20">
        <f>M23-K23</f>
        <v/>
      </c>
      <c r="N27" s="20">
        <f>N23-M23</f>
        <v/>
      </c>
      <c r="O27" s="20">
        <f>O23-N23</f>
        <v/>
      </c>
      <c r="P27" s="27">
        <f>P23-O23</f>
        <v/>
      </c>
      <c r="Q27" s="17" t="n"/>
      <c r="R27" s="20">
        <f>R23-P23</f>
        <v/>
      </c>
      <c r="S27" s="20">
        <f>S23-R23</f>
        <v/>
      </c>
      <c r="T27" s="20">
        <f>T23-S23</f>
        <v/>
      </c>
      <c r="U27" s="20">
        <f>U23-T23</f>
        <v/>
      </c>
      <c r="V27" s="17" t="n"/>
      <c r="W27" s="20">
        <f>W23-U23</f>
        <v/>
      </c>
      <c r="X27" s="20">
        <f>X23-W23</f>
        <v/>
      </c>
    </row>
    <row r="28">
      <c r="L28" s="17" t="n"/>
      <c r="P28" s="18" t="n"/>
      <c r="Q28" s="17" t="n"/>
      <c r="V28" s="17" t="n"/>
    </row>
    <row r="29">
      <c r="A29" s="3" t="n"/>
      <c r="B29" s="4" t="inlineStr">
        <is>
          <t>BEAT VS CONSENSUS HISTORY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>
      <c r="B30" s="5" t="inlineStr">
        <is>
          <t>Period</t>
        </is>
      </c>
      <c r="C30" s="5" t="inlineStr">
        <is>
          <t>Actual Revenue ($M)</t>
        </is>
      </c>
      <c r="D30" s="5" t="inlineStr">
        <is>
          <t>Consensus Est. ($M)</t>
        </is>
      </c>
      <c r="E30" s="5" t="inlineStr">
        <is>
          <t>Beat $</t>
        </is>
      </c>
      <c r="F30" s="5" t="inlineStr">
        <is>
          <t>Beat %</t>
        </is>
      </c>
      <c r="G30" s="5" t="inlineStr">
        <is>
          <t>Signal</t>
        </is>
      </c>
    </row>
    <row r="31">
      <c r="B31" s="6" t="inlineStr">
        <is>
          <t>2026-02-04</t>
        </is>
      </c>
      <c r="C31" s="19" t="n">
        <v>260.533</v>
      </c>
      <c r="D31" s="19" t="n">
        <v>251.7559</v>
      </c>
      <c r="E31" s="20">
        <f>C31-D31</f>
        <v/>
      </c>
      <c r="F31" s="21">
        <f>IFERROR((C31-D31)/D31,"-")</f>
        <v/>
      </c>
      <c r="G31" s="8">
        <f>IF(F31&gt;0,"BEAT","MISS")</f>
        <v/>
      </c>
    </row>
    <row r="32">
      <c r="B32" s="6" t="inlineStr">
        <is>
          <t>2025-10-29</t>
        </is>
      </c>
      <c r="C32" s="19" t="n">
        <v>252.44</v>
      </c>
      <c r="D32" s="19" t="n">
        <v>251.79071</v>
      </c>
      <c r="E32" s="20">
        <f>C32-D32</f>
        <v/>
      </c>
      <c r="F32" s="21">
        <f>IFERROR((C32-D32)/D32,"-")</f>
        <v/>
      </c>
      <c r="G32" s="8">
        <f>IF(F32&gt;0,"BEAT","MISS")</f>
        <v/>
      </c>
    </row>
    <row r="33">
      <c r="B33" s="6" t="inlineStr">
        <is>
          <t>2025-07-30</t>
        </is>
      </c>
      <c r="C33" s="19" t="n">
        <v>247.295</v>
      </c>
      <c r="D33" s="19" t="n">
        <v>245.12115</v>
      </c>
      <c r="E33" s="20">
        <f>C33-D33</f>
        <v/>
      </c>
      <c r="F33" s="21">
        <f>IFERROR((C33-D33)/D33,"-")</f>
        <v/>
      </c>
      <c r="G33" s="8">
        <f>IF(F33&gt;0,"BEAT","MISS")</f>
        <v/>
      </c>
    </row>
    <row r="34">
      <c r="B34" s="6" t="inlineStr">
        <is>
          <t>2025-04-29</t>
        </is>
      </c>
      <c r="C34" s="19" t="n">
        <v>239.137</v>
      </c>
      <c r="D34" s="19" t="n">
        <v>234.02901</v>
      </c>
      <c r="E34" s="20">
        <f>C34-D34</f>
        <v/>
      </c>
      <c r="F34" s="21">
        <f>IFERROR((C34-D34)/D34,"-")</f>
        <v/>
      </c>
      <c r="G34" s="8">
        <f>IF(F34&gt;0,"BEAT","MISS")</f>
        <v/>
      </c>
    </row>
    <row r="35">
      <c r="B35" s="6" t="inlineStr">
        <is>
          <t>2025-02-05</t>
        </is>
      </c>
      <c r="C35" s="19" t="n">
        <v>235.731</v>
      </c>
      <c r="D35" s="19" t="n">
        <v>232.02464</v>
      </c>
      <c r="E35" s="20">
        <f>C35-D35</f>
        <v/>
      </c>
      <c r="F35" s="21">
        <f>IFERROR((C35-D35)/D35,"-")</f>
        <v/>
      </c>
      <c r="G35" s="8">
        <f>IF(F35&gt;0,"BEAT","MISS")</f>
        <v/>
      </c>
    </row>
    <row r="36">
      <c r="B36" s="6" t="inlineStr">
        <is>
          <t>2024-10-30</t>
        </is>
      </c>
      <c r="C36" s="19" t="n">
        <v>227.088</v>
      </c>
      <c r="D36" s="19" t="n">
        <v>231.47</v>
      </c>
      <c r="E36" s="20">
        <f>C36-D36</f>
        <v/>
      </c>
      <c r="F36" s="21">
        <f>IFERROR((C36-D36)/D36,"-")</f>
        <v/>
      </c>
      <c r="G36" s="8">
        <f>IF(F36&gt;0,"BEAT","MISS")</f>
        <v/>
      </c>
    </row>
    <row r="37">
      <c r="B37" s="6" t="inlineStr">
        <is>
          <t>2024-07-31</t>
        </is>
      </c>
      <c r="C37" s="19" t="n">
        <v>221.241</v>
      </c>
      <c r="D37" s="19" t="n">
        <v>218.44</v>
      </c>
      <c r="E37" s="20">
        <f>C37-D37</f>
        <v/>
      </c>
      <c r="F37" s="21">
        <f>IFERROR((C37-D37)/D37,"-")</f>
        <v/>
      </c>
      <c r="G37" s="8">
        <f>IF(F37&gt;0,"BEAT","MISS")</f>
        <v/>
      </c>
    </row>
    <row r="38">
      <c r="B38" s="6" t="inlineStr">
        <is>
          <t>2024-05-01</t>
        </is>
      </c>
      <c r="C38" s="19" t="n">
        <v>215.961</v>
      </c>
      <c r="D38" s="19" t="n">
        <v>213.554545</v>
      </c>
      <c r="E38" s="20">
        <f>C38-D38</f>
        <v/>
      </c>
      <c r="F38" s="21">
        <f>IFERROR((C38-D38)/D38,"-")</f>
        <v/>
      </c>
      <c r="G38" s="8">
        <f>IF(F38&gt;0,"BEAT","MISS")</f>
        <v/>
      </c>
    </row>
    <row r="40">
      <c r="B40" s="28" t="inlineStr">
        <is>
          <t>Memo: Beat Summary</t>
        </is>
      </c>
    </row>
    <row r="41">
      <c r="B41" s="6" t="inlineStr">
        <is>
          <t>Beat Rate %</t>
        </is>
      </c>
      <c r="C41" s="21">
        <f>IFERROR(COUNTIF(G31:G38,"BEAT")/COUNTA(G31:G38),"-")</f>
        <v/>
      </c>
    </row>
    <row r="42">
      <c r="B42" s="6" t="inlineStr">
        <is>
          <t>Avg Beat % (wins only)</t>
        </is>
      </c>
      <c r="C42" s="21">
        <f>IFERROR(AVERAGEIF(F31:F38,"&gt;"&amp;0),"-")</f>
        <v/>
      </c>
    </row>
    <row r="43">
      <c r="B43" s="6" t="inlineStr">
        <is>
          <t>Avg Miss % (losses only)</t>
        </is>
      </c>
      <c r="C43" s="21">
        <f>IFERROR(AVERAGEIF(F31:F38,"&lt;"&amp;0),"-")</f>
        <v/>
      </c>
    </row>
    <row r="44">
      <c r="B44" s="6" t="inlineStr">
        <is>
          <t>4Q Avg Beat %</t>
        </is>
      </c>
      <c r="C44" s="21">
        <f>IFERROR(AVERAGE(F31:F34),"-")</f>
        <v/>
      </c>
    </row>
    <row r="45">
      <c r="B45" s="6" t="inlineStr">
        <is>
          <t>8Q Avg Beat %</t>
        </is>
      </c>
      <c r="C45" s="21">
        <f>IFERROR(AVERAGE(F31:F38),"-")</f>
        <v/>
      </c>
    </row>
  </sheetData>
  <conditionalFormatting sqref="T20:X20">
    <cfRule type="cellIs" priority="1" operator="equal" dxfId="0">
      <formula>"GUIDE ABOVE"</formula>
    </cfRule>
    <cfRule type="cellIs" priority="2" operator="equal" dxfId="1">
      <formula>"GUIDE BELOW"</formula>
    </cfRule>
    <cfRule type="cellIs" priority="3" operator="equal" dxfId="2">
      <formula>"IN-LINE"</formula>
    </cfRule>
  </conditionalFormatting>
  <conditionalFormatting sqref="G31:G38">
    <cfRule type="cellIs" priority="4" operator="equal" dxfId="0">
      <formula>"BEAT"</formula>
    </cfRule>
    <cfRule type="cellIs" priority="5" operator="equal" dxfId="1">
      <formula>"MISS"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5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</cols>
  <sheetData>
    <row r="1">
      <c r="B1" s="1" t="inlineStr">
        <is>
          <t>QLYS: KIN Base Case Operating Model</t>
        </is>
      </c>
    </row>
    <row r="2">
      <c r="B2" s="2" t="inlineStr">
        <is>
          <t>USD in Millions Unless Stated Otherwise</t>
        </is>
      </c>
    </row>
    <row r="3">
      <c r="B3" s="6" t="inlineStr">
        <is>
          <t>Beat Cadence (%)</t>
        </is>
      </c>
      <c r="C3" s="7" t="n">
        <v>0.0067</v>
      </c>
    </row>
    <row r="4">
      <c r="B4" s="6" t="inlineStr">
        <is>
          <t>Beat Window</t>
        </is>
      </c>
      <c r="C4" s="10" t="inlineStr">
        <is>
          <t>8Q</t>
        </is>
      </c>
    </row>
    <row r="5">
      <c r="B5" s="6" t="inlineStr">
        <is>
          <t>Momentum</t>
        </is>
      </c>
      <c r="C5" s="10" t="inlineStr">
        <is>
          <t>STABLE</t>
        </is>
      </c>
    </row>
    <row r="6">
      <c r="B6" s="6" t="inlineStr">
        <is>
          <t>Trailing YoY</t>
        </is>
      </c>
      <c r="C6" s="11" t="n">
        <v>0.1013</v>
      </c>
    </row>
    <row r="12">
      <c r="H12" s="12" t="inlineStr">
        <is>
          <t>Q1-24</t>
        </is>
      </c>
      <c r="I12" s="12" t="inlineStr">
        <is>
          <t>Q2-24</t>
        </is>
      </c>
      <c r="J12" s="12" t="inlineStr">
        <is>
          <t>Q3-24</t>
        </is>
      </c>
      <c r="K12" s="12" t="inlineStr">
        <is>
          <t>Q4-24</t>
        </is>
      </c>
      <c r="L12" s="13" t="inlineStr">
        <is>
          <t>FY24</t>
        </is>
      </c>
      <c r="M12" s="12" t="inlineStr">
        <is>
          <t>Q1-25</t>
        </is>
      </c>
      <c r="N12" s="12" t="inlineStr">
        <is>
          <t>Q2-25</t>
        </is>
      </c>
      <c r="O12" s="12" t="inlineStr">
        <is>
          <t>Q3-25</t>
        </is>
      </c>
      <c r="P12" s="14" t="inlineStr">
        <is>
          <t>Q4-25</t>
        </is>
      </c>
      <c r="Q12" s="13" t="inlineStr">
        <is>
          <t>FY25</t>
        </is>
      </c>
      <c r="R12" s="12" t="inlineStr">
        <is>
          <t>Q1-26E</t>
        </is>
      </c>
      <c r="S12" s="12" t="inlineStr">
        <is>
          <t>Q2-26E</t>
        </is>
      </c>
      <c r="T12" s="12" t="inlineStr">
        <is>
          <t>Q3-26E</t>
        </is>
      </c>
      <c r="U12" s="12" t="inlineStr">
        <is>
          <t>Q4-26E</t>
        </is>
      </c>
      <c r="V12" s="13" t="inlineStr">
        <is>
          <t>FY26E</t>
        </is>
      </c>
      <c r="W12" s="12" t="inlineStr">
        <is>
          <t>Q1-27E</t>
        </is>
      </c>
      <c r="X12" s="12" t="inlineStr">
        <is>
          <t>Q2-27E</t>
        </is>
      </c>
    </row>
    <row r="13">
      <c r="A13" s="3" t="n"/>
      <c r="B13" s="4" t="inlineStr">
        <is>
          <t>GUIDE INFERENCE  |  QLYS  |  Beat Cadence: +0.7% (8Q)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15" t="n"/>
      <c r="M13" s="3" t="n"/>
      <c r="N13" s="3" t="n"/>
      <c r="O13" s="3" t="n"/>
      <c r="P13" s="16" t="n"/>
      <c r="Q13" s="15" t="n"/>
      <c r="R13" s="3" t="n"/>
      <c r="S13" s="3" t="n"/>
      <c r="T13" s="3" t="n"/>
      <c r="U13" s="3" t="n"/>
      <c r="V13" s="15" t="n"/>
      <c r="W13" s="3" t="n"/>
      <c r="X13" s="3" t="n"/>
    </row>
    <row r="14">
      <c r="B14" s="6" t="inlineStr">
        <is>
          <t>Memo: Consensus</t>
        </is>
      </c>
      <c r="L14" s="17" t="n"/>
      <c r="P14" s="18" t="n"/>
      <c r="Q14" s="17" t="n"/>
      <c r="T14" s="19" t="n">
        <v>182.728971</v>
      </c>
      <c r="U14" s="19" t="n">
        <v>187.88311</v>
      </c>
      <c r="V14" s="17" t="n"/>
      <c r="W14" s="19" t="n">
        <v>187.257828</v>
      </c>
      <c r="X14" s="19" t="n">
        <v>189.999422</v>
      </c>
    </row>
    <row r="15">
      <c r="B15" s="6" t="inlineStr">
        <is>
          <t>KIN Est. Proj. $ QoQ</t>
        </is>
      </c>
      <c r="L15" s="17" t="n"/>
      <c r="P15" s="18" t="n"/>
      <c r="Q15" s="17" t="n"/>
      <c r="U15" s="19" t="n">
        <v>4.3335</v>
      </c>
      <c r="V15" s="17" t="n"/>
      <c r="W15" s="19" t="n">
        <v>0.708</v>
      </c>
      <c r="X15" s="19" t="n">
        <v>4.163</v>
      </c>
    </row>
    <row r="16">
      <c r="B16" s="6" t="inlineStr">
        <is>
          <t>KIN Est. Projected Actual</t>
        </is>
      </c>
      <c r="L16" s="17" t="n"/>
      <c r="P16" s="18" t="n"/>
      <c r="Q16" s="17" t="n"/>
      <c r="T16" s="20">
        <f>T14*(1+$C$3)</f>
        <v/>
      </c>
      <c r="U16" s="20">
        <f>T16+U15</f>
        <v/>
      </c>
      <c r="V16" s="17" t="n"/>
      <c r="W16" s="20">
        <f>U16+W15</f>
        <v/>
      </c>
      <c r="X16" s="20">
        <f>W16+X15</f>
        <v/>
      </c>
    </row>
    <row r="17">
      <c r="B17" s="6" t="inlineStr">
        <is>
          <t>KIN Est. Implied Guide</t>
        </is>
      </c>
      <c r="L17" s="17" t="n"/>
      <c r="P17" s="18" t="n"/>
      <c r="Q17" s="17" t="n"/>
      <c r="T17" s="20">
        <f>T16/(1+$C$3)</f>
        <v/>
      </c>
      <c r="U17" s="20">
        <f>U16/(1+$C$3)</f>
        <v/>
      </c>
      <c r="V17" s="17" t="n"/>
      <c r="W17" s="20">
        <f>W16/(1+$C$3)</f>
        <v/>
      </c>
      <c r="X17" s="20">
        <f>X16/(1+$C$3)</f>
        <v/>
      </c>
    </row>
    <row r="18">
      <c r="B18" s="6" t="inlineStr">
        <is>
          <t>Gap $</t>
        </is>
      </c>
      <c r="L18" s="17" t="n"/>
      <c r="P18" s="18" t="n"/>
      <c r="Q18" s="17" t="n"/>
      <c r="T18" s="20">
        <f>T17-T14</f>
        <v/>
      </c>
      <c r="U18" s="20">
        <f>U17-U14</f>
        <v/>
      </c>
      <c r="V18" s="17" t="n"/>
      <c r="W18" s="20">
        <f>W17-W14</f>
        <v/>
      </c>
      <c r="X18" s="20">
        <f>X17-X14</f>
        <v/>
      </c>
    </row>
    <row r="19">
      <c r="B19" s="6" t="inlineStr">
        <is>
          <t>Gap %</t>
        </is>
      </c>
      <c r="L19" s="17" t="n"/>
      <c r="P19" s="18" t="n"/>
      <c r="Q19" s="17" t="n"/>
      <c r="T19" s="21">
        <f>IFERROR(T18/T14,"-")</f>
        <v/>
      </c>
      <c r="U19" s="21">
        <f>IFERROR(U18/U14,"-")</f>
        <v/>
      </c>
      <c r="V19" s="17" t="n"/>
      <c r="W19" s="21">
        <f>IFERROR(W18/W14,"-")</f>
        <v/>
      </c>
      <c r="X19" s="21">
        <f>IFERROR(X18/X14,"-")</f>
        <v/>
      </c>
    </row>
    <row r="20">
      <c r="B20" s="6" t="inlineStr">
        <is>
          <t>Signal</t>
        </is>
      </c>
      <c r="L20" s="17" t="n"/>
      <c r="P20" s="18" t="n"/>
      <c r="Q20" s="17" t="n"/>
      <c r="T20" s="22">
        <f>IF(T19&gt;0.02,"GUIDE ABOVE",IF(T19&lt;-0.02,"GUIDE BELOW","IN-LINE"))</f>
        <v/>
      </c>
      <c r="U20" s="22">
        <f>IF(U19&gt;0.02,"GUIDE ABOVE",IF(U19&lt;-0.02,"GUIDE BELOW","IN-LINE"))</f>
        <v/>
      </c>
      <c r="V20" s="17" t="n"/>
      <c r="W20" s="22">
        <f>IF(W19&gt;0.02,"GUIDE ABOVE",IF(W19&lt;-0.02,"GUIDE BELOW","IN-LINE"))</f>
        <v/>
      </c>
      <c r="X20" s="22">
        <f>IF(X19&gt;0.02,"GUIDE ABOVE",IF(X19&lt;-0.02,"GUIDE BELOW","IN-LINE"))</f>
        <v/>
      </c>
    </row>
    <row r="21">
      <c r="L21" s="17" t="n"/>
      <c r="P21" s="18" t="n"/>
      <c r="Q21" s="17" t="n"/>
      <c r="V21" s="17" t="n"/>
    </row>
    <row r="22">
      <c r="A22" s="3" t="n"/>
      <c r="B22" s="4" t="inlineStr">
        <is>
          <t>REVENUE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15" t="n"/>
      <c r="M22" s="3" t="n"/>
      <c r="N22" s="3" t="n"/>
      <c r="O22" s="3" t="n"/>
      <c r="P22" s="16" t="n"/>
      <c r="Q22" s="15" t="n"/>
      <c r="R22" s="3" t="n"/>
      <c r="S22" s="3" t="n"/>
      <c r="T22" s="3" t="n"/>
      <c r="U22" s="3" t="n"/>
      <c r="V22" s="15" t="n"/>
      <c r="W22" s="3" t="n"/>
      <c r="X22" s="3" t="n"/>
    </row>
    <row r="23">
      <c r="B23" s="6" t="inlineStr">
        <is>
          <t>Revenue</t>
        </is>
      </c>
      <c r="H23" s="19" t="n">
        <v>145.805</v>
      </c>
      <c r="I23" s="19" t="n">
        <v>148.708</v>
      </c>
      <c r="J23" s="19" t="n">
        <v>153.867</v>
      </c>
      <c r="K23" s="19" t="n">
        <v>159.191</v>
      </c>
      <c r="L23" s="23">
        <f>SUM(H23:K23)</f>
        <v/>
      </c>
      <c r="M23" s="19" t="n">
        <v>159.899</v>
      </c>
      <c r="N23" s="19" t="n">
        <v>164.062</v>
      </c>
      <c r="O23" s="19" t="n">
        <v>169.882</v>
      </c>
      <c r="P23" s="24" t="n">
        <v>175.282</v>
      </c>
      <c r="Q23" s="23">
        <f>SUM(M23:P23)</f>
        <v/>
      </c>
      <c r="R23" s="19" t="n">
        <v>175.99</v>
      </c>
      <c r="S23" s="19" t="n">
        <v>180.153</v>
      </c>
      <c r="T23" s="19" t="n">
        <v>186.1476</v>
      </c>
      <c r="U23" s="19" t="n">
        <v>190.4811</v>
      </c>
      <c r="V23" s="23">
        <f>SUM(R23:U23)</f>
        <v/>
      </c>
    </row>
    <row r="24">
      <c r="B24" s="6" t="inlineStr">
        <is>
          <t>% YoY</t>
        </is>
      </c>
      <c r="L24" s="17" t="n"/>
      <c r="M24" s="21">
        <f>IFERROR((M23-H23)/H23,"-")</f>
        <v/>
      </c>
      <c r="N24" s="21">
        <f>IFERROR((N23-I23)/I23,"-")</f>
        <v/>
      </c>
      <c r="O24" s="21">
        <f>IFERROR((O23-J23)/J23,"-")</f>
        <v/>
      </c>
      <c r="P24" s="26">
        <f>IFERROR((P23-K23)/K23,"-")</f>
        <v/>
      </c>
      <c r="Q24" s="25">
        <f>IFERROR((Q23-L23)/L23,"-")</f>
        <v/>
      </c>
      <c r="R24" s="21">
        <f>IFERROR((R23-M23)/M23,"-")</f>
        <v/>
      </c>
      <c r="S24" s="21">
        <f>IFERROR((S23-N23)/N23,"-")</f>
        <v/>
      </c>
      <c r="T24" s="21">
        <f>IFERROR((T23-O23)/O23,"-")</f>
        <v/>
      </c>
      <c r="U24" s="21">
        <f>IFERROR((U23-P23)/P23,"-")</f>
        <v/>
      </c>
      <c r="V24" s="25">
        <f>IFERROR((V23-Q23)/Q23,"-")</f>
        <v/>
      </c>
      <c r="W24" s="21">
        <f>IFERROR((W23-R23)/R23,"-")</f>
        <v/>
      </c>
      <c r="X24" s="21">
        <f>IFERROR((X23-S23)/S23,"-")</f>
        <v/>
      </c>
    </row>
    <row r="25">
      <c r="B25" s="6" t="inlineStr">
        <is>
          <t>% QoQ</t>
        </is>
      </c>
      <c r="I25" s="21">
        <f>IFERROR((I23-H23)/H23,"-")</f>
        <v/>
      </c>
      <c r="J25" s="21">
        <f>IFERROR((J23-I23)/I23,"-")</f>
        <v/>
      </c>
      <c r="K25" s="21">
        <f>IFERROR((K23-J23)/J23,"-")</f>
        <v/>
      </c>
      <c r="L25" s="17" t="n"/>
      <c r="M25" s="21">
        <f>IFERROR((M23-K23)/K23,"-")</f>
        <v/>
      </c>
      <c r="N25" s="21">
        <f>IFERROR((N23-M23)/M23,"-")</f>
        <v/>
      </c>
      <c r="O25" s="21">
        <f>IFERROR((O23-N23)/N23,"-")</f>
        <v/>
      </c>
      <c r="P25" s="26">
        <f>IFERROR((P23-O23)/O23,"-")</f>
        <v/>
      </c>
      <c r="Q25" s="17" t="n"/>
      <c r="R25" s="21">
        <f>IFERROR((R23-P23)/P23,"-")</f>
        <v/>
      </c>
      <c r="S25" s="21">
        <f>IFERROR((S23-R23)/R23,"-")</f>
        <v/>
      </c>
      <c r="T25" s="21">
        <f>IFERROR((T23-S23)/S23,"-")</f>
        <v/>
      </c>
      <c r="U25" s="21">
        <f>IFERROR((U23-T23)/T23,"-")</f>
        <v/>
      </c>
      <c r="V25" s="17" t="n"/>
      <c r="W25" s="21">
        <f>IFERROR((W23-U23)/U23,"-")</f>
        <v/>
      </c>
      <c r="X25" s="21">
        <f>IFERROR((X23-W23)/W23,"-")</f>
        <v/>
      </c>
    </row>
    <row r="26">
      <c r="B26" s="6" t="inlineStr">
        <is>
          <t>$ YoY</t>
        </is>
      </c>
      <c r="L26" s="17" t="n"/>
      <c r="M26" s="20">
        <f>M23-H23</f>
        <v/>
      </c>
      <c r="N26" s="20">
        <f>N23-I23</f>
        <v/>
      </c>
      <c r="O26" s="20">
        <f>O23-J23</f>
        <v/>
      </c>
      <c r="P26" s="27">
        <f>P23-K23</f>
        <v/>
      </c>
      <c r="Q26" s="23">
        <f>Q23-L23</f>
        <v/>
      </c>
      <c r="R26" s="20">
        <f>R23-M23</f>
        <v/>
      </c>
      <c r="S26" s="20">
        <f>S23-N23</f>
        <v/>
      </c>
      <c r="T26" s="20">
        <f>T23-O23</f>
        <v/>
      </c>
      <c r="U26" s="20">
        <f>U23-P23</f>
        <v/>
      </c>
      <c r="V26" s="23">
        <f>V23-Q23</f>
        <v/>
      </c>
      <c r="W26" s="20">
        <f>W23-R23</f>
        <v/>
      </c>
      <c r="X26" s="20">
        <f>X23-S23</f>
        <v/>
      </c>
    </row>
    <row r="27">
      <c r="B27" s="6" t="inlineStr">
        <is>
          <t>$ QoQ</t>
        </is>
      </c>
      <c r="I27" s="20">
        <f>I23-H23</f>
        <v/>
      </c>
      <c r="J27" s="20">
        <f>J23-I23</f>
        <v/>
      </c>
      <c r="K27" s="20">
        <f>K23-J23</f>
        <v/>
      </c>
      <c r="L27" s="17" t="n"/>
      <c r="M27" s="20">
        <f>M23-K23</f>
        <v/>
      </c>
      <c r="N27" s="20">
        <f>N23-M23</f>
        <v/>
      </c>
      <c r="O27" s="20">
        <f>O23-N23</f>
        <v/>
      </c>
      <c r="P27" s="27">
        <f>P23-O23</f>
        <v/>
      </c>
      <c r="Q27" s="17" t="n"/>
      <c r="R27" s="20">
        <f>R23-P23</f>
        <v/>
      </c>
      <c r="S27" s="20">
        <f>S23-R23</f>
        <v/>
      </c>
      <c r="T27" s="20">
        <f>T23-S23</f>
        <v/>
      </c>
      <c r="U27" s="20">
        <f>U23-T23</f>
        <v/>
      </c>
      <c r="V27" s="17" t="n"/>
      <c r="W27" s="20">
        <f>W23-U23</f>
        <v/>
      </c>
      <c r="X27" s="20">
        <f>X23-W23</f>
        <v/>
      </c>
    </row>
    <row r="28">
      <c r="L28" s="17" t="n"/>
      <c r="P28" s="18" t="n"/>
      <c r="Q28" s="17" t="n"/>
      <c r="V28" s="17" t="n"/>
    </row>
    <row r="29">
      <c r="A29" s="3" t="n"/>
      <c r="B29" s="4" t="inlineStr">
        <is>
          <t>BEAT VS CONSENSUS HISTORY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>
      <c r="B30" s="5" t="inlineStr">
        <is>
          <t>Period</t>
        </is>
      </c>
      <c r="C30" s="5" t="inlineStr">
        <is>
          <t>Actual Revenue ($M)</t>
        </is>
      </c>
      <c r="D30" s="5" t="inlineStr">
        <is>
          <t>Consensus Est. ($M)</t>
        </is>
      </c>
      <c r="E30" s="5" t="inlineStr">
        <is>
          <t>Beat $</t>
        </is>
      </c>
      <c r="F30" s="5" t="inlineStr">
        <is>
          <t>Beat %</t>
        </is>
      </c>
      <c r="G30" s="5" t="inlineStr">
        <is>
          <t>Signal</t>
        </is>
      </c>
    </row>
    <row r="31">
      <c r="B31" s="6" t="inlineStr">
        <is>
          <t>2026-02-05</t>
        </is>
      </c>
      <c r="C31" s="19" t="n">
        <v>175.282</v>
      </c>
      <c r="D31" s="19" t="n">
        <v>173.1643</v>
      </c>
      <c r="E31" s="20">
        <f>C31-D31</f>
        <v/>
      </c>
      <c r="F31" s="21">
        <f>IFERROR((C31-D31)/D31,"-")</f>
        <v/>
      </c>
      <c r="G31" s="8">
        <f>IF(F31&gt;0,"BEAT","MISS")</f>
        <v/>
      </c>
    </row>
    <row r="32">
      <c r="B32" s="6" t="inlineStr">
        <is>
          <t>2025-11-04</t>
        </is>
      </c>
      <c r="C32" s="19" t="n">
        <v>169.882</v>
      </c>
      <c r="D32" s="19" t="n">
        <v>173.1789</v>
      </c>
      <c r="E32" s="20">
        <f>C32-D32</f>
        <v/>
      </c>
      <c r="F32" s="21">
        <f>IFERROR((C32-D32)/D32,"-")</f>
        <v/>
      </c>
      <c r="G32" s="8">
        <f>IF(F32&gt;0,"BEAT","MISS")</f>
        <v/>
      </c>
    </row>
    <row r="33">
      <c r="B33" s="6" t="inlineStr">
        <is>
          <t>2025-08-05</t>
        </is>
      </c>
      <c r="C33" s="19" t="n">
        <v>164.062</v>
      </c>
      <c r="D33" s="19" t="n">
        <v>161.26166</v>
      </c>
      <c r="E33" s="20">
        <f>C33-D33</f>
        <v/>
      </c>
      <c r="F33" s="21">
        <f>IFERROR((C33-D33)/D33,"-")</f>
        <v/>
      </c>
      <c r="G33" s="8">
        <f>IF(F33&gt;0,"BEAT","MISS")</f>
        <v/>
      </c>
    </row>
    <row r="34">
      <c r="B34" s="6" t="inlineStr">
        <is>
          <t>2025-05-06</t>
        </is>
      </c>
      <c r="C34" s="19" t="n">
        <v>159.899</v>
      </c>
      <c r="D34" s="19" t="n">
        <v>159.91182</v>
      </c>
      <c r="E34" s="20">
        <f>C34-D34</f>
        <v/>
      </c>
      <c r="F34" s="21">
        <f>IFERROR((C34-D34)/D34,"-")</f>
        <v/>
      </c>
      <c r="G34" s="8">
        <f>IF(F34&gt;0,"BEAT","MISS")</f>
        <v/>
      </c>
    </row>
    <row r="35">
      <c r="B35" s="6" t="inlineStr">
        <is>
          <t>2025-02-06</t>
        </is>
      </c>
      <c r="C35" s="19" t="n">
        <v>159.191</v>
      </c>
      <c r="D35" s="19" t="n">
        <v>156.27221</v>
      </c>
      <c r="E35" s="20">
        <f>C35-D35</f>
        <v/>
      </c>
      <c r="F35" s="21">
        <f>IFERROR((C35-D35)/D35,"-")</f>
        <v/>
      </c>
      <c r="G35" s="8">
        <f>IF(F35&gt;0,"BEAT","MISS")</f>
        <v/>
      </c>
    </row>
    <row r="36">
      <c r="B36" s="6" t="inlineStr">
        <is>
          <t>2024-11-05</t>
        </is>
      </c>
      <c r="C36" s="19" t="n">
        <v>153.867</v>
      </c>
      <c r="D36" s="19" t="n">
        <v>150.7</v>
      </c>
      <c r="E36" s="20">
        <f>C36-D36</f>
        <v/>
      </c>
      <c r="F36" s="21">
        <f>IFERROR((C36-D36)/D36,"-")</f>
        <v/>
      </c>
      <c r="G36" s="8">
        <f>IF(F36&gt;0,"BEAT","MISS")</f>
        <v/>
      </c>
    </row>
    <row r="37">
      <c r="B37" s="6" t="inlineStr">
        <is>
          <t>2024-08-06</t>
        </is>
      </c>
      <c r="C37" s="19" t="n">
        <v>149.083</v>
      </c>
      <c r="D37" s="19" t="n">
        <v>148.7</v>
      </c>
      <c r="E37" s="20">
        <f>C37-D37</f>
        <v/>
      </c>
      <c r="F37" s="21">
        <f>IFERROR((C37-D37)/D37,"-")</f>
        <v/>
      </c>
      <c r="G37" s="8">
        <f>IF(F37&gt;0,"BEAT","MISS")</f>
        <v/>
      </c>
    </row>
    <row r="38">
      <c r="B38" s="6" t="inlineStr">
        <is>
          <t>2024-05-07</t>
        </is>
      </c>
      <c r="C38" s="19" t="n">
        <v>145.805</v>
      </c>
      <c r="D38" s="19" t="n">
        <v>145.7</v>
      </c>
      <c r="E38" s="20">
        <f>C38-D38</f>
        <v/>
      </c>
      <c r="F38" s="21">
        <f>IFERROR((C38-D38)/D38,"-")</f>
        <v/>
      </c>
      <c r="G38" s="8">
        <f>IF(F38&gt;0,"BEAT","MISS")</f>
        <v/>
      </c>
    </row>
    <row r="40">
      <c r="B40" s="28" t="inlineStr">
        <is>
          <t>Memo: Beat Summary</t>
        </is>
      </c>
    </row>
    <row r="41">
      <c r="B41" s="6" t="inlineStr">
        <is>
          <t>Beat Rate %</t>
        </is>
      </c>
      <c r="C41" s="21">
        <f>IFERROR(COUNTIF(G31:G38,"BEAT")/COUNTA(G31:G38),"-")</f>
        <v/>
      </c>
    </row>
    <row r="42">
      <c r="B42" s="6" t="inlineStr">
        <is>
          <t>Avg Beat % (wins only)</t>
        </is>
      </c>
      <c r="C42" s="21">
        <f>IFERROR(AVERAGEIF(F31:F38,"&gt;"&amp;0),"-")</f>
        <v/>
      </c>
    </row>
    <row r="43">
      <c r="B43" s="6" t="inlineStr">
        <is>
          <t>Avg Miss % (losses only)</t>
        </is>
      </c>
      <c r="C43" s="21">
        <f>IFERROR(AVERAGEIF(F31:F38,"&lt;"&amp;0),"-")</f>
        <v/>
      </c>
    </row>
    <row r="44">
      <c r="B44" s="6" t="inlineStr">
        <is>
          <t>4Q Avg Beat %</t>
        </is>
      </c>
      <c r="C44" s="21">
        <f>IFERROR(AVERAGE(F31:F34),"-")</f>
        <v/>
      </c>
    </row>
    <row r="45">
      <c r="B45" s="6" t="inlineStr">
        <is>
          <t>8Q Avg Beat %</t>
        </is>
      </c>
      <c r="C45" s="21">
        <f>IFERROR(AVERAGE(F31:F38),"-")</f>
        <v/>
      </c>
    </row>
  </sheetData>
  <conditionalFormatting sqref="T20:X20">
    <cfRule type="cellIs" priority="1" operator="equal" dxfId="0">
      <formula>"GUIDE ABOVE"</formula>
    </cfRule>
    <cfRule type="cellIs" priority="2" operator="equal" dxfId="1">
      <formula>"GUIDE BELOW"</formula>
    </cfRule>
    <cfRule type="cellIs" priority="3" operator="equal" dxfId="2">
      <formula>"IN-LINE"</formula>
    </cfRule>
  </conditionalFormatting>
  <conditionalFormatting sqref="G31:G38">
    <cfRule type="cellIs" priority="4" operator="equal" dxfId="0">
      <formula>"BEAT"</formula>
    </cfRule>
    <cfRule type="cellIs" priority="5" operator="equal" dxfId="1">
      <formula>"MISS"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2026-04-11T22:19:20Z</dcterms:created>
  <dcterms:modified xsi:type="dcterms:W3CDTF">2026-04-11T22:19:20Z</dcterms:modified>
</cp:coreProperties>
</file>