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D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J9" authorId="0" shapeId="0">
      <text>
        <t xml:space="preserve"># Datadog Q2 2025 Revenue Distortion Analysis
## Identified Factors Explaining the Anomalous QoQ Revenue Growth
</t>
      </text>
    </comment>
    <comment ref="N9" authorId="0" shapeId="0">
      <text>
        <t>Q+1 Beat-Adjusted:
Consensus: $956.0M
x (1 + 3.49%)
= $989.4M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W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</cols>
  <sheetData>
    <row r="1">
      <c r="B1" s="1" t="inlineStr">
        <is>
          <t>DDOG: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0.0349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Q1-26E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  <c r="T7" s="7" t="inlineStr">
        <is>
          <t>Q2-27E</t>
        </is>
      </c>
      <c r="U7" s="7" t="inlineStr">
        <is>
          <t>Q3-27E</t>
        </is>
      </c>
      <c r="V7" s="7" t="inlineStr">
        <is>
          <t>Q4-27E</t>
        </is>
      </c>
      <c r="W7" s="8" t="inlineStr">
        <is>
          <t>FY27E</t>
        </is>
      </c>
    </row>
    <row r="8">
      <c r="D8" s="9" t="n"/>
      <c r="H8" s="10" t="n"/>
      <c r="I8" s="9" t="n"/>
      <c r="M8" s="10" t="n"/>
      <c r="N8" s="9" t="n"/>
      <c r="R8" s="10" t="n"/>
      <c r="S8" s="9" t="n"/>
      <c r="W8" s="10" t="n"/>
    </row>
    <row r="9">
      <c r="B9" s="11" t="inlineStr">
        <is>
          <t>Total Revenue</t>
        </is>
      </c>
      <c r="D9" s="12" t="n">
        <v>611.253</v>
      </c>
      <c r="E9" s="13" t="n">
        <v>645.279</v>
      </c>
      <c r="F9" s="13" t="n">
        <v>690.016</v>
      </c>
      <c r="G9" s="13" t="n">
        <v>737.727</v>
      </c>
      <c r="H9" s="14">
        <f>SUM(D9:G9)</f>
        <v/>
      </c>
      <c r="I9" s="12" t="n">
        <v>761.553</v>
      </c>
      <c r="J9" s="13" t="n">
        <v>826.76</v>
      </c>
      <c r="K9" s="13" t="n">
        <v>885.651</v>
      </c>
      <c r="L9" s="13" t="n">
        <v>953.194</v>
      </c>
      <c r="M9" s="14">
        <f>SUM(I9:L9)</f>
        <v/>
      </c>
      <c r="N9" s="12">
        <f>L9+N13</f>
        <v/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  <c r="T9" s="13">
        <f>S9+T13</f>
        <v/>
      </c>
      <c r="U9" s="13">
        <f>T9+U13</f>
        <v/>
      </c>
      <c r="V9" s="13">
        <f>U9+V13</f>
        <v/>
      </c>
      <c r="W9" s="14">
        <f>SUM(S9:V9)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  <c r="T10" s="16">
        <f>IFERROR((T9-O9)/O9,"-")</f>
        <v/>
      </c>
      <c r="U10" s="16">
        <f>IFERROR((U9-P9)/P9,"-")</f>
        <v/>
      </c>
      <c r="V10" s="16">
        <f>IFERROR((V9-Q9)/Q9,"-")</f>
        <v/>
      </c>
      <c r="W10" s="17">
        <f>IFERROR((W9-R9)/R9,"-")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  <c r="T11" s="16">
        <f>IFERROR((T9-S9)/S9,"-")</f>
        <v/>
      </c>
      <c r="U11" s="16">
        <f>IFERROR((U9-T9)/T9,"-")</f>
        <v/>
      </c>
      <c r="V11" s="16">
        <f>IFERROR((V9-U9)/U9,"-")</f>
        <v/>
      </c>
      <c r="W11" s="10" t="n"/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  <c r="T12" s="19">
        <f>T9-O9</f>
        <v/>
      </c>
      <c r="U12" s="19">
        <f>U9-P9</f>
        <v/>
      </c>
      <c r="V12" s="19">
        <f>V9-Q9</f>
        <v/>
      </c>
      <c r="W12" s="20">
        <f>W9-R9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21" t="n">
        <v>36.1704</v>
      </c>
      <c r="O13" s="22" t="n">
        <v>32.854789</v>
      </c>
      <c r="P13" s="22" t="n">
        <v>59.307231</v>
      </c>
      <c r="Q13" s="22" t="n">
        <v>64.292587</v>
      </c>
      <c r="R13" s="10" t="n"/>
      <c r="S13" s="21" t="n">
        <v>40.352753</v>
      </c>
      <c r="T13" s="22" t="n">
        <v>54.271897</v>
      </c>
      <c r="U13" s="22" t="n">
        <v>60.658508</v>
      </c>
      <c r="V13" s="22" t="n">
        <v>66.764154</v>
      </c>
      <c r="W13" s="10" t="n"/>
    </row>
    <row r="14">
      <c r="D14" s="9" t="n"/>
      <c r="H14" s="10" t="n"/>
      <c r="I14" s="9" t="n"/>
      <c r="M14" s="10" t="n"/>
      <c r="N14" s="9" t="n"/>
      <c r="R14" s="10" t="n"/>
      <c r="S14" s="9" t="n"/>
      <c r="W14" s="10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12" t="n">
        <v>956</v>
      </c>
      <c r="O15" s="13" t="n">
        <v>992.567221</v>
      </c>
      <c r="P15" s="13" t="n">
        <v>1047.131542</v>
      </c>
      <c r="Q15" s="13" t="n">
        <v>1112.342692</v>
      </c>
      <c r="R15" s="14">
        <f>SUM(N15:Q15)</f>
        <v/>
      </c>
      <c r="S15" s="12" t="n">
        <v>1141.098607</v>
      </c>
      <c r="T15" s="13" t="n">
        <v>1182.08157</v>
      </c>
      <c r="U15" s="13" t="n">
        <v>1246.386815</v>
      </c>
      <c r="V15" s="13" t="n">
        <v>1326.5623</v>
      </c>
      <c r="W15" s="14">
        <f>SUM(S15:V15)</f>
        <v/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15">
        <f>IFERROR((S15-N15)/N15,"-")</f>
        <v/>
      </c>
      <c r="T16" s="16">
        <f>IFERROR((T15-O15)/O15,"-")</f>
        <v/>
      </c>
      <c r="U16" s="16">
        <f>IFERROR((U15-P15)/P15,"-")</f>
        <v/>
      </c>
      <c r="V16" s="16">
        <f>IFERROR((V15-Q15)/Q15,"-")</f>
        <v/>
      </c>
      <c r="W16" s="17">
        <f>IFERROR((W15-R15)/R15,"-")</f>
        <v/>
      </c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O17" s="16">
        <f>IFERROR((O15-N15)/N15,"-")</f>
        <v/>
      </c>
      <c r="P17" s="16">
        <f>IFERROR((P15-O15)/O15,"-")</f>
        <v/>
      </c>
      <c r="Q17" s="16">
        <f>IFERROR((Q15-P15)/P15,"-")</f>
        <v/>
      </c>
      <c r="R17" s="10" t="n"/>
      <c r="S17" s="15">
        <f>IFERROR((S15-Q15)/Q15,"-")</f>
        <v/>
      </c>
      <c r="T17" s="16">
        <f>IFERROR((T15-S15)/S15,"-")</f>
        <v/>
      </c>
      <c r="U17" s="16">
        <f>IFERROR((U15-T15)/T15,"-")</f>
        <v/>
      </c>
      <c r="V17" s="16">
        <f>IFERROR((V15-U15)/U15,"-")</f>
        <v/>
      </c>
      <c r="W17" s="10" t="n"/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18">
        <f>S15-N15</f>
        <v/>
      </c>
      <c r="T18" s="19">
        <f>T15-O15</f>
        <v/>
      </c>
      <c r="U18" s="19">
        <f>U15-P15</f>
        <v/>
      </c>
      <c r="V18" s="19">
        <f>V15-Q15</f>
        <v/>
      </c>
      <c r="W18" s="20">
        <f>W15-R15</f>
        <v/>
      </c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O19" s="19">
        <f>O15-N15</f>
        <v/>
      </c>
      <c r="P19" s="19">
        <f>P15-O15</f>
        <v/>
      </c>
      <c r="Q19" s="19">
        <f>Q15-P15</f>
        <v/>
      </c>
      <c r="R19" s="10" t="n"/>
      <c r="S19" s="18">
        <f>S15-Q15</f>
        <v/>
      </c>
      <c r="T19" s="19">
        <f>T15-S15</f>
        <v/>
      </c>
      <c r="U19" s="19">
        <f>U15-T15</f>
        <v/>
      </c>
      <c r="V19" s="19">
        <f>V15-U15</f>
        <v/>
      </c>
      <c r="W19" s="10" t="n"/>
    </row>
    <row r="20">
      <c r="D20" s="9" t="n"/>
      <c r="H20" s="10" t="n"/>
      <c r="I20" s="9" t="n"/>
      <c r="M20" s="10" t="n"/>
      <c r="N20" s="9" t="n"/>
      <c r="R20" s="10" t="n"/>
      <c r="S20" s="9" t="n"/>
      <c r="W20" s="10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15">
        <f>IFERROR((N9-N15)/N15,"-")</f>
        <v/>
      </c>
      <c r="O21" s="16">
        <f>IFERROR((O9-O15)/O15,"-")</f>
        <v/>
      </c>
      <c r="P21" s="16">
        <f>IFERROR((P9-P15)/P15,"-")</f>
        <v/>
      </c>
      <c r="Q21" s="16">
        <f>IFERROR((Q9-Q15)/Q15,"-")</f>
        <v/>
      </c>
      <c r="R21" s="17">
        <f>IFERROR((R9-R15)/R15,"-")</f>
        <v/>
      </c>
      <c r="S21" s="15">
        <f>IFERROR((S9-S15)/S15,"-")</f>
        <v/>
      </c>
      <c r="T21" s="16">
        <f>IFERROR((T9-T15)/T15,"-")</f>
        <v/>
      </c>
      <c r="U21" s="16">
        <f>IFERROR((U9-U15)/U15,"-")</f>
        <v/>
      </c>
      <c r="V21" s="16">
        <f>IFERROR((V9-V15)/V15,"-")</f>
        <v/>
      </c>
      <c r="W21" s="17">
        <f>IFERROR((W9-W15)/W15,"-")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  <c r="W22" s="10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O23" s="13">
        <f>O9/(1+$C$3)</f>
        <v/>
      </c>
      <c r="R23" s="10" t="n"/>
      <c r="S23" s="9" t="n"/>
      <c r="W23" s="10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O24" s="16">
        <f>IFERROR((O23-J9)/J9,"-")</f>
        <v/>
      </c>
      <c r="R24" s="10" t="n"/>
      <c r="S24" s="9" t="n"/>
      <c r="W24" s="10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O25" s="16">
        <f>IFERROR((O23-N9)/N9,"-")</f>
        <v/>
      </c>
      <c r="R25" s="10" t="n"/>
      <c r="S25" s="9" t="n"/>
      <c r="W25" s="10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O26" s="19">
        <f>O23-J9</f>
        <v/>
      </c>
      <c r="R26" s="10" t="n"/>
      <c r="S26" s="9" t="n"/>
      <c r="W26" s="10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O27" s="19">
        <f>O23-N9</f>
        <v/>
      </c>
      <c r="R27" s="10" t="n"/>
      <c r="S27" s="9" t="n"/>
      <c r="W27" s="10" t="n"/>
    </row>
    <row r="28">
      <c r="D28" s="9" t="n"/>
      <c r="H28" s="10" t="n"/>
      <c r="I28" s="9" t="n"/>
      <c r="M28" s="10" t="n"/>
      <c r="N28" s="9" t="n"/>
      <c r="R28" s="10" t="n"/>
      <c r="S28" s="9" t="n"/>
      <c r="W28" s="10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O29" s="16">
        <f>IFERROR((O23-O15)/O15,"-")</f>
        <v/>
      </c>
      <c r="R29" s="10" t="n"/>
      <c r="S29" s="9" t="n"/>
      <c r="W29" s="10" t="n"/>
    </row>
    <row r="30">
      <c r="D30" s="9" t="n"/>
      <c r="H30" s="10" t="n"/>
      <c r="I30" s="9" t="n"/>
      <c r="M30" s="10" t="n"/>
      <c r="N30" s="9" t="n"/>
      <c r="R30" s="10" t="n"/>
      <c r="S30" s="9" t="n"/>
      <c r="W30" s="10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  <c r="W31" s="10" t="n"/>
    </row>
    <row r="32">
      <c r="B32" s="11" t="inlineStr">
        <is>
          <t>Actual Revenue</t>
        </is>
      </c>
      <c r="D32" s="12" t="n">
        <v>611.253</v>
      </c>
      <c r="E32" s="13" t="n">
        <v>645.279</v>
      </c>
      <c r="F32" s="13" t="n">
        <v>690.016</v>
      </c>
      <c r="G32" s="13" t="n">
        <v>737.727</v>
      </c>
      <c r="H32" s="14">
        <f>SUM(D32:G32)</f>
        <v/>
      </c>
      <c r="I32" s="12" t="n">
        <v>761.553</v>
      </c>
      <c r="J32" s="13" t="n">
        <v>826.76</v>
      </c>
      <c r="K32" s="13" t="n">
        <v>885.651</v>
      </c>
      <c r="L32" s="13" t="n">
        <v>953.194</v>
      </c>
      <c r="M32" s="14">
        <f>SUM(I32:L32)</f>
        <v/>
      </c>
      <c r="N32" s="9" t="n"/>
      <c r="R32" s="10" t="n"/>
      <c r="S32" s="9" t="n"/>
      <c r="W32" s="10" t="n"/>
    </row>
    <row r="33">
      <c r="B33" s="11" t="inlineStr">
        <is>
          <t>Consensus Revenue</t>
        </is>
      </c>
      <c r="D33" s="12" t="n">
        <v>592.031855</v>
      </c>
      <c r="E33" s="13" t="n">
        <v>626.8917290000001</v>
      </c>
      <c r="F33" s="13" t="n">
        <v>665.041144</v>
      </c>
      <c r="G33" s="13" t="n">
        <v>715.178777</v>
      </c>
      <c r="H33" s="14">
        <f>SUM(D33:G33)</f>
        <v/>
      </c>
      <c r="I33" s="12" t="n">
        <v>741.413084</v>
      </c>
      <c r="J33" s="13" t="n">
        <v>791.123833</v>
      </c>
      <c r="K33" s="13" t="n">
        <v>852.761661</v>
      </c>
      <c r="L33" s="13" t="n">
        <v>918.7008</v>
      </c>
      <c r="M33" s="14">
        <f>SUM(I33:L33)</f>
        <v/>
      </c>
      <c r="N33" s="9" t="n"/>
      <c r="R33" s="10" t="n"/>
      <c r="S33" s="9" t="n"/>
      <c r="W33" s="10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9" t="n"/>
      <c r="R34" s="10" t="n"/>
      <c r="S34" s="9" t="n"/>
      <c r="W34" s="10" t="n"/>
    </row>
    <row r="35">
      <c r="B35" s="2" t="inlineStr">
        <is>
          <t xml:space="preserve">   Beat / Miss (%)</t>
        </is>
      </c>
      <c r="D35" s="23">
        <f>IFERROR((D32-D33)/D33,"-")</f>
        <v/>
      </c>
      <c r="E35" s="24">
        <f>IFERROR((E32-E33)/E33,"-")</f>
        <v/>
      </c>
      <c r="F35" s="24">
        <f>IFERROR((F32-F33)/F33,"-")</f>
        <v/>
      </c>
      <c r="G35" s="24">
        <f>IFERROR((G32-G33)/G33,"-")</f>
        <v/>
      </c>
      <c r="H35" s="17">
        <f>IFERROR((H32-H33)/H33,"-")</f>
        <v/>
      </c>
      <c r="I35" s="23">
        <f>IFERROR((I32-I33)/I33,"-")</f>
        <v/>
      </c>
      <c r="J35" s="24">
        <f>IFERROR((J32-J33)/J33,"-")</f>
        <v/>
      </c>
      <c r="K35" s="24">
        <f>IFERROR((K32-K33)/K33,"-")</f>
        <v/>
      </c>
      <c r="L35" s="24">
        <f>IFERROR((L32-L33)/L33,"-")</f>
        <v/>
      </c>
      <c r="M35" s="17">
        <f>IFERROR((M32-M33)/M33,"-")</f>
        <v/>
      </c>
      <c r="N35" s="9" t="n"/>
      <c r="R35" s="10" t="n"/>
      <c r="S35" s="9" t="n"/>
      <c r="W35" s="10" t="n"/>
    </row>
    <row r="36">
      <c r="D36" s="9" t="n"/>
      <c r="H36" s="10" t="n"/>
      <c r="I36" s="9" t="n"/>
      <c r="M36" s="10" t="n"/>
      <c r="N36" s="9" t="n"/>
      <c r="R36" s="10" t="n"/>
      <c r="S36" s="9" t="n"/>
      <c r="W36" s="10" t="n"/>
    </row>
    <row r="37">
      <c r="B37" s="2" t="inlineStr">
        <is>
          <t xml:space="preserve">   Trailing 4Q Avg Beat</t>
        </is>
      </c>
      <c r="C37" s="25">
        <f>AVERAGE(I35,J35,K35,L35)</f>
        <v/>
      </c>
      <c r="D37" s="9" t="n"/>
      <c r="H37" s="10" t="n"/>
      <c r="I37" s="9" t="n"/>
      <c r="M37" s="10" t="n"/>
      <c r="N37" s="9" t="n"/>
      <c r="R37" s="10" t="n"/>
      <c r="S37" s="9" t="n"/>
      <c r="W37" s="10" t="n"/>
    </row>
    <row r="38">
      <c r="B38" s="2" t="inlineStr">
        <is>
          <t xml:space="preserve">   Trailing 8Q Avg Beat</t>
        </is>
      </c>
      <c r="C38" s="25">
        <f>AVERAGE(D35,E35,F35,G35,I35,J35,K35,L35)</f>
        <v/>
      </c>
      <c r="D38" s="9" t="n"/>
      <c r="H38" s="10" t="n"/>
      <c r="I38" s="9" t="n"/>
      <c r="M38" s="10" t="n"/>
      <c r="N38" s="9" t="n"/>
      <c r="R38" s="10" t="n"/>
      <c r="S38" s="9" t="n"/>
      <c r="W38" s="10" t="n"/>
    </row>
    <row r="39">
      <c r="B39" s="2" t="inlineStr">
        <is>
          <t xml:space="preserve">   Selected Beat Cadence</t>
        </is>
      </c>
      <c r="C39" s="26" t="n">
        <v>0.0349</v>
      </c>
      <c r="D39" s="9" t="n"/>
      <c r="H39" s="10" t="n"/>
      <c r="I39" s="9" t="n"/>
      <c r="M39" s="10" t="n"/>
      <c r="N39" s="9" t="n"/>
      <c r="R39" s="10" t="n"/>
      <c r="S39" s="9" t="n"/>
      <c r="W39" s="10" t="n"/>
    </row>
  </sheetData>
  <conditionalFormatting sqref="D21:W21">
    <cfRule type="expression" priority="1" dxfId="0">
      <formula>D21&gt;0</formula>
    </cfRule>
    <cfRule type="expression" priority="2" dxfId="1">
      <formula>D21&lt;0</formula>
    </cfRule>
  </conditionalFormatting>
  <conditionalFormatting sqref="D29:W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2026-04-12T19:07:52Z</dcterms:created>
  <dcterms:modified xsi:type="dcterms:W3CDTF">2026-04-12T19:07:52Z</dcterms:modified>
</cp:coreProperties>
</file>