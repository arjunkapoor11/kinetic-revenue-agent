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worksheets/sheet28.xml" ContentType="application/vnd.openxmlformats-officedocument.spreadsheetml.worksheet+xml"/>
  <Override PartName="/xl/comments/comment27.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8.xml" ContentType="application/vnd.openxmlformats-officedocument.spreadsheetml.comments+xml"/>
  <Override PartName="/xl/worksheets/sheet31.xml" ContentType="application/vnd.openxmlformats-officedocument.spreadsheetml.worksheet+xml"/>
  <Override PartName="/xl/comments/comment29.xml" ContentType="application/vnd.openxmlformats-officedocument.spreadsheetml.comments+xml"/>
  <Override PartName="/xl/worksheets/sheet32.xml" ContentType="application/vnd.openxmlformats-officedocument.spreadsheetml.worksheet+xml"/>
  <Override PartName="/xl/comments/comment30.xml" ContentType="application/vnd.openxmlformats-officedocument.spreadsheetml.comments+xml"/>
  <Override PartName="/xl/worksheets/sheet33.xml" ContentType="application/vnd.openxmlformats-officedocument.spreadsheetml.worksheet+xml"/>
  <Override PartName="/xl/comments/comment31.xml" ContentType="application/vnd.openxmlformats-officedocument.spreadsheetml.comments+xml"/>
  <Override PartName="/xl/worksheets/sheet34.xml" ContentType="application/vnd.openxmlformats-officedocument.spreadsheetml.worksheet+xml"/>
  <Override PartName="/xl/comments/comment32.xml" ContentType="application/vnd.openxmlformats-officedocument.spreadsheetml.comments+xml"/>
  <Override PartName="/xl/worksheets/sheet35.xml" ContentType="application/vnd.openxmlformats-officedocument.spreadsheetml.worksheet+xml"/>
  <Override PartName="/xl/comments/comment33.xml" ContentType="application/vnd.openxmlformats-officedocument.spreadsheetml.comments+xml"/>
  <Override PartName="/xl/worksheets/sheet36.xml" ContentType="application/vnd.openxmlformats-officedocument.spreadsheetml.worksheet+xml"/>
  <Override PartName="/xl/comments/comment34.xml" ContentType="application/vnd.openxmlformats-officedocument.spreadsheetml.comments+xml"/>
  <Override PartName="/xl/worksheets/sheet37.xml" ContentType="application/vnd.openxmlformats-officedocument.spreadsheetml.worksheet+xml"/>
  <Override PartName="/xl/comments/comment35.xml" ContentType="application/vnd.openxmlformats-officedocument.spreadsheetml.comments+xml"/>
  <Override PartName="/xl/worksheets/sheet38.xml" ContentType="application/vnd.openxmlformats-officedocument.spreadsheetml.worksheet+xml"/>
  <Override PartName="/xl/comments/comment36.xml" ContentType="application/vnd.openxmlformats-officedocument.spreadsheetml.comments+xml"/>
  <Override PartName="/xl/worksheets/sheet39.xml" ContentType="application/vnd.openxmlformats-officedocument.spreadsheetml.worksheet+xml"/>
  <Override PartName="/xl/comments/comment37.xml" ContentType="application/vnd.openxmlformats-officedocument.spreadsheetml.comments+xml"/>
  <Override PartName="/xl/worksheets/sheet40.xml" ContentType="application/vnd.openxmlformats-officedocument.spreadsheetml.worksheet+xml"/>
  <Override PartName="/xl/comments/comment38.xml" ContentType="application/vnd.openxmlformats-officedocument.spreadsheetml.comments+xml"/>
  <Override PartName="/xl/worksheets/sheet41.xml" ContentType="application/vnd.openxmlformats-officedocument.spreadsheetml.worksheet+xml"/>
  <Override PartName="/xl/comments/comment39.xml" ContentType="application/vnd.openxmlformats-officedocument.spreadsheetml.comments+xml"/>
  <Override PartName="/xl/worksheets/sheet42.xml" ContentType="application/vnd.openxmlformats-officedocument.spreadsheetml.worksheet+xml"/>
  <Override PartName="/xl/comments/comment40.xml" ContentType="application/vnd.openxmlformats-officedocument.spreadsheetml.comments+xml"/>
  <Override PartName="/xl/worksheets/sheet43.xml" ContentType="application/vnd.openxmlformats-officedocument.spreadsheetml.worksheet+xml"/>
  <Override PartName="/xl/comments/comment41.xml" ContentType="application/vnd.openxmlformats-officedocument.spreadsheetml.comments+xml"/>
  <Override PartName="/xl/worksheets/sheet44.xml" ContentType="application/vnd.openxmlformats-officedocument.spreadsheetml.worksheet+xml"/>
  <Override PartName="/xl/comments/comment42.xml" ContentType="application/vnd.openxmlformats-officedocument.spreadsheetml.comments+xml"/>
  <Override PartName="/xl/worksheets/sheet45.xml" ContentType="application/vnd.openxmlformats-officedocument.spreadsheetml.worksheet+xml"/>
  <Override PartName="/xl/comments/comment43.xml" ContentType="application/vnd.openxmlformats-officedocument.spreadsheetml.comments+xml"/>
  <Override PartName="/xl/worksheets/sheet46.xml" ContentType="application/vnd.openxmlformats-officedocument.spreadsheetml.worksheet+xml"/>
  <Override PartName="/xl/comments/comment44.xml" ContentType="application/vnd.openxmlformats-officedocument.spreadsheetml.comments+xml"/>
  <Override PartName="/xl/worksheets/sheet47.xml" ContentType="application/vnd.openxmlformats-officedocument.spreadsheetml.worksheet+xml"/>
  <Override PartName="/xl/comments/comment45.xml" ContentType="application/vnd.openxmlformats-officedocument.spreadsheetml.comments+xml"/>
  <Override PartName="/xl/worksheets/sheet48.xml" ContentType="application/vnd.openxmlformats-officedocument.spreadsheetml.worksheet+xml"/>
  <Override PartName="/xl/comments/comment46.xml" ContentType="application/vnd.openxmlformats-officedocument.spreadsheetml.comments+xml"/>
  <Override PartName="/xl/worksheets/sheet49.xml" ContentType="application/vnd.openxmlformats-officedocument.spreadsheetml.worksheet+xml"/>
  <Override PartName="/xl/comments/comment4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NOW" sheetId="2" state="visible" r:id="rId2"/>
    <sheet name="DDOG" sheetId="3" state="visible" r:id="rId3"/>
    <sheet name="MDB" sheetId="4" state="visible" r:id="rId4"/>
    <sheet name="TENB" sheetId="5" state="visible" r:id="rId5"/>
    <sheet name="QLYS" sheetId="6" state="visible" r:id="rId6"/>
    <sheet name="NOW" sheetId="7" state="visible" r:id="rId7"/>
    <sheet name="ADBE" sheetId="8" state="visible" r:id="rId8"/>
    <sheet name="INTU" sheetId="9" state="visible" r:id="rId9"/>
    <sheet name="WDAY" sheetId="10" state="visible" r:id="rId10"/>
    <sheet name="PANW" sheetId="11" state="visible" r:id="rId11"/>
    <sheet name="CDNS" sheetId="12" state="visible" r:id="rId12"/>
    <sheet name="SNPS" sheetId="13" state="visible" r:id="rId13"/>
    <sheet name="ADSK" sheetId="14" state="visible" r:id="rId14"/>
    <sheet name="APP" sheetId="15" state="visible" r:id="rId15"/>
    <sheet name="FTNT" sheetId="16" state="visible" r:id="rId16"/>
    <sheet name="TEAM" sheetId="17" state="visible" r:id="rId17"/>
    <sheet name="VEEV" sheetId="18" state="visible" r:id="rId18"/>
    <sheet name="ROP" sheetId="19" state="visible" r:id="rId19"/>
    <sheet name="PLTR" sheetId="20" state="visible" r:id="rId20"/>
    <sheet name="HUBS" sheetId="21" state="visible" r:id="rId21"/>
    <sheet name="ZS" sheetId="22" state="visible" r:id="rId22"/>
    <sheet name="CRWD" sheetId="23" state="visible" r:id="rId23"/>
    <sheet name="OKTA" sheetId="24" state="visible" r:id="rId24"/>
    <sheet name="TTD" sheetId="25" state="visible" r:id="rId25"/>
    <sheet name="GTLB" sheetId="26" state="visible" r:id="rId26"/>
    <sheet name="BILL" sheetId="27" state="visible" r:id="rId27"/>
    <sheet name="MNDY" sheetId="28" state="visible" r:id="rId28"/>
    <sheet name="CFLT" sheetId="29" state="visible" r:id="rId29"/>
    <sheet name="ESTC" sheetId="30" state="visible" r:id="rId30"/>
    <sheet name="FROG" sheetId="31" state="visible" r:id="rId31"/>
    <sheet name="S" sheetId="32" state="visible" r:id="rId32"/>
    <sheet name="ZI" sheetId="33" state="visible" r:id="rId33"/>
    <sheet name="DT" sheetId="34" state="visible" r:id="rId34"/>
    <sheet name="TOST" sheetId="35" state="visible" r:id="rId35"/>
    <sheet name="PCTY" sheetId="36" state="visible" r:id="rId36"/>
    <sheet name="PAYC" sheetId="37" state="visible" r:id="rId37"/>
    <sheet name="GWRE" sheetId="38" state="visible" r:id="rId38"/>
    <sheet name="BSY" sheetId="39" state="visible" r:id="rId39"/>
    <sheet name="CWAN" sheetId="40" state="visible" r:id="rId40"/>
    <sheet name="NCNO" sheetId="41" state="visible" r:id="rId41"/>
    <sheet name="BRZE" sheetId="42" state="visible" r:id="rId42"/>
    <sheet name="KVYO" sheetId="43" state="visible" r:id="rId43"/>
    <sheet name="PCOR" sheetId="44" state="visible" r:id="rId44"/>
    <sheet name="SPSC" sheetId="45" state="visible" r:id="rId45"/>
    <sheet name="MANH" sheetId="46" state="visible" r:id="rId46"/>
    <sheet name="AZPN" sheetId="47" state="visible" r:id="rId47"/>
    <sheet name="APPN" sheetId="48" state="visible" r:id="rId48"/>
    <sheet name="DOCN" sheetId="49" state="visible" r:id="rId49"/>
  </sheets>
  <definedNames/>
  <calcPr calcId="124519" fullCalcOnLoad="1"/>
</workbook>
</file>

<file path=xl/styles.xml><?xml version="1.0" encoding="utf-8"?>
<styleSheet xmlns="http://schemas.openxmlformats.org/spreadsheetml/2006/main">
  <numFmts count="3">
    <numFmt numFmtId="164" formatCode="0.0%"/>
    <numFmt numFmtId="165" formatCode="#,##0.0_);(#,##0.0);&quot;-&quot;"/>
    <numFmt numFmtId="166" formatCode="0.0%_);(0.0%);&quot;-&quot;"/>
  </numFmts>
  <fonts count="10">
    <font>
      <name val="Calibri"/>
      <family val="2"/>
      <color theme="1"/>
      <sz val="11"/>
      <scheme val="minor"/>
    </font>
    <font>
      <name val="Times New Roman"/>
      <b val="1"/>
      <sz val="12"/>
    </font>
    <font>
      <name val="Times New Roman"/>
      <i val="1"/>
      <sz val="9"/>
    </font>
    <font>
      <name val="Times New Roman"/>
      <b val="1"/>
      <color rgb="00FFFFFF"/>
      <sz val="10"/>
    </font>
    <font>
      <name val="Times New Roman"/>
      <b val="1"/>
      <sz val="9"/>
    </font>
    <font>
      <name val="Times New Roman"/>
      <sz val="9"/>
    </font>
    <font>
      <name val="Times New Roman"/>
      <color rgb="000000FF"/>
      <sz val="9"/>
    </font>
    <font>
      <name val="Times New Roman"/>
      <i val="1"/>
      <color rgb="000000FF"/>
      <sz val="9"/>
    </font>
    <font>
      <name val="Times New Roman"/>
      <i val="1"/>
      <color rgb="00006100"/>
      <sz val="9"/>
    </font>
    <font>
      <name val="Times New Roman"/>
      <i val="1"/>
      <color rgb="009C0006"/>
      <sz val="9"/>
    </font>
  </fonts>
  <fills count="3">
    <fill>
      <patternFill/>
    </fill>
    <fill>
      <patternFill patternType="gray125"/>
    </fill>
    <fill>
      <patternFill patternType="solid">
        <fgColor rgb="001A1F2E"/>
      </patternFill>
    </fill>
  </fills>
  <borders count="3">
    <border>
      <left/>
      <right/>
      <top/>
      <bottom/>
      <diagonal/>
    </border>
    <border>
      <left style="thin"/>
      <right/>
      <top/>
      <bottom/>
    </border>
    <border>
      <left/>
      <right style="thin"/>
      <top/>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horizontal="center"/>
    </xf>
    <xf numFmtId="0" fontId="5" fillId="0" borderId="0" pivotButton="0" quotePrefix="0" xfId="0"/>
    <xf numFmtId="10" fontId="6" fillId="0" borderId="0" pivotButton="0" quotePrefix="0" xfId="0"/>
    <xf numFmtId="164" fontId="5" fillId="0" borderId="0" pivotButton="0" quotePrefix="0" xfId="0"/>
    <xf numFmtId="0" fontId="6" fillId="0" borderId="0" pivotButton="0" quotePrefix="0" xfId="0"/>
    <xf numFmtId="0" fontId="4" fillId="0" borderId="1" applyAlignment="1" pivotButton="0" quotePrefix="0" xfId="0">
      <alignment horizontal="center"/>
    </xf>
    <xf numFmtId="0" fontId="4" fillId="0" borderId="2" applyAlignment="1" pivotButton="0" quotePrefix="0" xfId="0">
      <alignment horizontal="center"/>
    </xf>
    <xf numFmtId="0" fontId="0" fillId="0" borderId="1" pivotButton="0" quotePrefix="0" xfId="0"/>
    <xf numFmtId="0" fontId="0" fillId="0" borderId="2" pivotButton="0" quotePrefix="0" xfId="0"/>
    <xf numFmtId="0" fontId="4" fillId="0" borderId="0" pivotButton="0" quotePrefix="0" xfId="0"/>
    <xf numFmtId="165" fontId="4" fillId="0" borderId="1" applyAlignment="1" pivotButton="0" quotePrefix="0" xfId="0">
      <alignment horizontal="right"/>
    </xf>
    <xf numFmtId="165" fontId="4" fillId="0" borderId="0" applyAlignment="1" pivotButton="0" quotePrefix="0" xfId="0">
      <alignment horizontal="right"/>
    </xf>
    <xf numFmtId="165" fontId="4" fillId="0" borderId="2" applyAlignment="1" pivotButton="0" quotePrefix="0" xfId="0">
      <alignment horizontal="right"/>
    </xf>
    <xf numFmtId="166" fontId="2" fillId="0" borderId="1" applyAlignment="1" pivotButton="0" quotePrefix="0" xfId="0">
      <alignment horizontal="right"/>
    </xf>
    <xf numFmtId="166" fontId="2" fillId="0" borderId="0" applyAlignment="1" pivotButton="0" quotePrefix="0" xfId="0">
      <alignment horizontal="right"/>
    </xf>
    <xf numFmtId="166" fontId="2" fillId="0" borderId="2" applyAlignment="1" pivotButton="0" quotePrefix="0" xfId="0">
      <alignment horizontal="right"/>
    </xf>
    <xf numFmtId="165" fontId="2" fillId="0" borderId="1" applyAlignment="1" pivotButton="0" quotePrefix="0" xfId="0">
      <alignment horizontal="right"/>
    </xf>
    <xf numFmtId="165" fontId="2" fillId="0" borderId="0" applyAlignment="1" pivotButton="0" quotePrefix="0" xfId="0">
      <alignment horizontal="right"/>
    </xf>
    <xf numFmtId="165" fontId="2" fillId="0" borderId="2" applyAlignment="1" pivotButton="0" quotePrefix="0" xfId="0">
      <alignment horizontal="right"/>
    </xf>
    <xf numFmtId="165" fontId="7" fillId="0" borderId="0" applyAlignment="1" pivotButton="0" quotePrefix="0" xfId="0">
      <alignment horizontal="right"/>
    </xf>
    <xf numFmtId="165" fontId="7" fillId="0" borderId="1" applyAlignment="1" pivotButton="0" quotePrefix="0" xfId="0">
      <alignment horizontal="right"/>
    </xf>
    <xf numFmtId="166" fontId="8" fillId="0" borderId="0" applyAlignment="1" pivotButton="0" quotePrefix="0" xfId="0">
      <alignment horizontal="right"/>
    </xf>
    <xf numFmtId="166" fontId="9" fillId="0" borderId="1" applyAlignment="1" pivotButton="0" quotePrefix="0" xfId="0">
      <alignment horizontal="right"/>
    </xf>
    <xf numFmtId="166" fontId="8" fillId="0" borderId="1" applyAlignment="1" pivotButton="0" quotePrefix="0" xfId="0">
      <alignment horizontal="right"/>
    </xf>
    <xf numFmtId="166" fontId="2" fillId="0" borderId="0" pivotButton="0" quotePrefix="0" xfId="0"/>
    <xf numFmtId="166" fontId="7" fillId="0" borderId="0" pivotButton="0" quotePrefix="0" xfId="0"/>
    <xf numFmtId="166" fontId="9" fillId="0" borderId="0" applyAlignment="1" pivotButton="0" quotePrefix="0" xfId="0">
      <alignment horizontal="right"/>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comments/comment1.xml><?xml version="1.0" encoding="utf-8"?>
<comments xmlns="http://schemas.openxmlformats.org/spreadsheetml/2006/main">
  <authors>
    <author>KIN Model</author>
  </authors>
  <commentList>
    <comment ref="K9" authorId="0" shapeId="0">
      <text>
        <t># Snowflake (SNOW) Q3 FY2026 (Quarter Ended July 31, 2025) — Revenue Anomaly Analysis
## Context Note
The earnings call transcript is labeled "Q2 FY2026" (August 27, 2025), which corresponds to the fiscal quarter ending July 31, 2025 — the quarter flagged as anomalous in the quantitative analysi...</t>
      </text>
    </comment>
    <comment ref="O9" authorId="0" shapeId="0">
      <text>
        <t>Q+1 Beat-Adjusted:
Consensus: $1,323.9M
x (1 + 3.52%)
= $1,370.5M implied</t>
      </text>
    </comment>
  </commentList>
</comments>
</file>

<file path=xl/comments/comment2.xml><?xml version="1.0" encoding="utf-8"?>
<comments xmlns="http://schemas.openxmlformats.org/spreadsheetml/2006/main">
  <authors>
    <author>KIN Model</author>
  </authors>
  <commentList>
    <comment ref="J9" authorId="0" shapeId="0">
      <text>
        <t xml:space="preserve"># Datadog (DDOG) Q2 2025 Revenue Anomaly Analysis
## Identified Factors Explaining the Revenue Distortion
</t>
      </text>
    </comment>
    <comment ref="N9" authorId="0" shapeId="0">
      <text>
        <t>Q+1 Beat-Adjusted:
Consensus: $960.1M
x (1 + 3.49%)
= $993.6M implied</t>
      </text>
    </comment>
  </commentList>
</comments>
</file>

<file path=xl/comments/comment3.xml><?xml version="1.0" encoding="utf-8"?>
<comments xmlns="http://schemas.openxmlformats.org/spreadsheetml/2006/main">
  <authors>
    <author>KIN Model</author>
  </authors>
  <commentList>
    <comment ref="N9" authorId="0" shapeId="0">
      <text>
        <t># MongoDB (MDB) Q1 FY2027 (Quarter Ended January 31, 2026) — Revenue Anomaly Analysis
## Preliminary Note on Quarter Labeling
The transcript is labeled "Q4 FY2026" (quarter ended January 31, 2026), which aligns with MongoDB's fiscal calendar. The quantitative flag refers to this as "Q1 2026-01-3...</t>
      </text>
    </comment>
    <comment ref="O9" authorId="0" shapeId="0">
      <text>
        <t>Q+1 Beat-Adjusted:
Consensus: $664.0M
x (1 + 5.05%)
= $697.5M implied</t>
      </text>
    </comment>
  </commentList>
</comments>
</file>

<file path=xl/comments/comment4.xml><?xml version="1.0" encoding="utf-8"?>
<comments xmlns="http://schemas.openxmlformats.org/spreadsheetml/2006/main">
  <authors>
    <author>KIN Model</author>
  </authors>
  <commentList>
    <comment ref="N9" authorId="0" shapeId="0">
      <text>
        <t>Q+1 Beat-Adjusted:
Consensus: $258.8M
x (1 + 1.71%)
= $263.3M implied</t>
      </text>
    </comment>
  </commentList>
</comments>
</file>

<file path=xl/comments/comment5.xml><?xml version="1.0" encoding="utf-8"?>
<comments xmlns="http://schemas.openxmlformats.org/spreadsheetml/2006/main">
  <authors>
    <author>KIN Model</author>
  </authors>
  <commentList>
    <comment ref="N9" authorId="0" shapeId="0">
      <text>
        <t>Q+1 Beat-Adjusted:
Consensus: $173.7M
x (1 + 0.67%)
= $174.8M implied</t>
      </text>
    </comment>
  </commentList>
</comments>
</file>

<file path=xl/comments/comment6.xml><?xml version="1.0" encoding="utf-8"?>
<comments xmlns="http://schemas.openxmlformats.org/spreadsheetml/2006/main">
  <authors>
    <author>KIN Model</author>
  </authors>
  <commentList>
    <comment ref="N9" authorId="0" shapeId="0">
      <text>
        <t>Q+1 Beat-Adjusted:
Consensus: $3,746.7M
x (1 + 1.11%)
= $3,788.3M implied</t>
      </text>
    </comment>
  </commentList>
</comments>
</file>

<file path=xl/comments/comment7.xml><?xml version="1.0" encoding="utf-8"?>
<comments xmlns="http://schemas.openxmlformats.org/spreadsheetml/2006/main">
  <authors>
    <author>KIN Model</author>
  </authors>
  <commentList>
    <comment ref="O9" authorId="0" shapeId="0">
      <text>
        <t>Q+1 Beat-Adjusted:
Consensus: $6,458.9M
x (1 + 1.44%)
= $6,551.9M implied</t>
      </text>
    </comment>
  </commentList>
</comments>
</file>

<file path=xl/comments/comment8.xml><?xml version="1.0" encoding="utf-8"?>
<comments xmlns="http://schemas.openxmlformats.org/spreadsheetml/2006/main">
  <authors>
    <author>KIN Model</author>
  </authors>
  <commentList>
    <comment ref="O9" authorId="0" shapeId="0">
      <text>
        <t>Q+1 Beat-Adjusted:
Consensus: $8,533.5M
x (1 + 2.71%)
= $8,764.8M implied</t>
      </text>
    </comment>
  </commentList>
</comments>
</file>

<file path=xl/comments/comment9.xml><?xml version="1.0" encoding="utf-8"?>
<comments xmlns="http://schemas.openxmlformats.org/spreadsheetml/2006/main">
  <authors>
    <author>KIN Model</author>
  </authors>
  <commentList>
    <comment ref="N9" authorId="0" shapeId="0">
      <text>
        <t xml:space="preserve"># WDAY Q4 FY2026 Earnings Call Analysis: Revenue Anomaly Investigation
## Preliminary Note on Quarter Labeling
</t>
      </text>
    </comment>
    <comment ref="O9" authorId="0" shapeId="0">
      <text>
        <t>Q+1 Beat-Adjusted:
Consensus: $2,516.6M
x (1 + 0.46%)
= $2,528.2M implied</t>
      </text>
    </comment>
  </commentList>
</comments>
</file>

<file path=xl/comments/comment10.xml><?xml version="1.0" encoding="utf-8"?>
<comments xmlns="http://schemas.openxmlformats.org/spreadsheetml/2006/main">
  <authors>
    <author>KIN Model</author>
  </authors>
  <commentList>
    <comment ref="O9" authorId="0" shapeId="0">
      <text>
        <t>Q+1 Beat-Adjusted:
Consensus: $2,944.0M
x (1 + 0.77%)
= $2,966.7M implied</t>
      </text>
    </comment>
  </commentList>
</comments>
</file>

<file path=xl/comments/comment11.xml><?xml version="1.0" encoding="utf-8"?>
<comments xmlns="http://schemas.openxmlformats.org/spreadsheetml/2006/main">
  <authors>
    <author>KIN Model</author>
  </authors>
  <commentList>
    <comment ref="N9" authorId="0" shapeId="0">
      <text>
        <t>Q+1 Beat-Adjusted:
Consensus: $1,447.3M
x (1 + 1.15%)
= $1,464.0M implied</t>
      </text>
    </comment>
  </commentList>
</comments>
</file>

<file path=xl/comments/comment12.xml><?xml version="1.0" encoding="utf-8"?>
<comments xmlns="http://schemas.openxmlformats.org/spreadsheetml/2006/main">
  <authors>
    <author>KIN Model</author>
  </authors>
  <commentList>
    <comment ref="L9" authorId="0" shapeId="0">
      <text>
        <t># SNPS Q4 FY2025 Revenue Anomaly Analysis
## Summary of Anomalous Quarter
- **Revenue**: $2,254,860,000 vs. prior quarter $1,739,737,000</t>
      </text>
    </comment>
    <comment ref="O9" authorId="0" shapeId="0">
      <text>
        <t>Q+1 Beat-Adjusted:
Consensus: $2,249.5M
x (1 + 0.20%)
= $2,254.0M implied</t>
      </text>
    </comment>
  </commentList>
</comments>
</file>

<file path=xl/comments/comment13.xml><?xml version="1.0" encoding="utf-8"?>
<comments xmlns="http://schemas.openxmlformats.org/spreadsheetml/2006/main">
  <authors>
    <author>KIN Model</author>
  </authors>
  <commentList>
    <comment ref="O9" authorId="0" shapeId="0">
      <text>
        <t>Q+1 Beat-Adjusted:
Consensus: $1,893.3M
x (1 + 2.04%)
= $1,932.0M implied</t>
      </text>
    </comment>
  </commentList>
</comments>
</file>

<file path=xl/comments/comment14.xml><?xml version="1.0" encoding="utf-8"?>
<comments xmlns="http://schemas.openxmlformats.org/spreadsheetml/2006/main">
  <authors>
    <author>KIN Model</author>
  </authors>
  <commentList>
    <comment ref="N9" authorId="0" shapeId="0">
      <text>
        <t>Q+1 Beat-Adjusted:
Consensus: $1,778.7M
x (1 + 4.45%)
= $1,857.9M implied</t>
      </text>
    </comment>
  </commentList>
</comments>
</file>

<file path=xl/comments/comment15.xml><?xml version="1.0" encoding="utf-8"?>
<comments xmlns="http://schemas.openxmlformats.org/spreadsheetml/2006/main">
  <authors>
    <author>KIN Model</author>
  </authors>
  <commentList>
    <comment ref="L9" authorId="0" shapeId="0">
      <text>
        <t># FTNT Q4 2025 (Quarter Ended December 31, 2025) — Revenue Anomaly Analysis
## Overview of Anomaly
Revenue of $1.905B represented a 10.44% QoQ increase versus a seasonal average of ~$95.7M, coming in 1.82 standard deviations above norm. This is a meaningful but not extreme deviation, suggesting ...</t>
      </text>
    </comment>
    <comment ref="N9" authorId="0" shapeId="0">
      <text>
        <t>Q+1 Beat-Adjusted:
Consensus: $1,732.2M
x (1 + 1.01%)
= $1,749.7M implied</t>
      </text>
    </comment>
  </commentList>
</comments>
</file>

<file path=xl/comments/comment16.xml><?xml version="1.0" encoding="utf-8"?>
<comments xmlns="http://schemas.openxmlformats.org/spreadsheetml/2006/main">
  <authors>
    <author>KIN Model</author>
  </authors>
  <commentList>
    <comment ref="L9" authorId="0" shapeId="0">
      <text>
        <t># TEAM Q4 2025 (Quarter Ending 2025-12-31) Revenue Anomaly Analysis
## Contextual Note on Transcript Alignment
The transcript covers **Q2 FY2026** (quarter ending December 31, 2025), which corresponds to the flagged period. The 10.73% QoQ growth — 2.15 standard deviations above the seasonal norm...</t>
      </text>
    </comment>
    <comment ref="N9" authorId="0" shapeId="0">
      <text>
        <t>Q+1 Beat-Adjusted:
Consensus: $1,695.8M
x (1 + 1.59%)
= $1,722.8M implied</t>
      </text>
    </comment>
  </commentList>
</comments>
</file>

<file path=xl/comments/comment17.xml><?xml version="1.0" encoding="utf-8"?>
<comments xmlns="http://schemas.openxmlformats.org/spreadsheetml/2006/main">
  <authors>
    <author>KIN Model</author>
  </authors>
  <commentList>
    <comment ref="O9" authorId="0" shapeId="0">
      <text>
        <t>Q+1 Beat-Adjusted:
Consensus: $857.8M
x (1 + 2.81%)
= $881.9M implied</t>
      </text>
    </comment>
  </commentList>
</comments>
</file>

<file path=xl/comments/comment18.xml><?xml version="1.0" encoding="utf-8"?>
<comments xmlns="http://schemas.openxmlformats.org/spreadsheetml/2006/main">
  <authors>
    <author>KIN Model</author>
  </authors>
  <commentList>
    <comment ref="N9" authorId="0" shapeId="0">
      <text>
        <t>Q+1 Beat-Adjusted:
Consensus: $2,064.2M
x (1 + -0.12%)
= $2,061.7M implied</t>
      </text>
    </comment>
  </commentList>
</comments>
</file>

<file path=xl/comments/comment19.xml><?xml version="1.0" encoding="utf-8"?>
<comments xmlns="http://schemas.openxmlformats.org/spreadsheetml/2006/main">
  <authors>
    <author>KIN Model</author>
  </authors>
  <commentList>
    <comment ref="K9" authorId="0" shapeId="0">
      <text>
        <t># PLTR Q3 2025 Earnings Call — Revenue Anomaly Analysis
## Quantitative Context
- **Reported Revenue:** $1.181B vs. prior quarter $1.004B</t>
      </text>
    </comment>
    <comment ref="L9" authorId="0" shapeId="0">
      <text>
        <t># PLTR Q4 2025 (Quarter Ending 2025-12-31) Revenue Anomaly Analysis
## Quantitative Context
- **Reported Revenue:** $1.407B</t>
      </text>
    </comment>
    <comment ref="N9" authorId="0" shapeId="0">
      <text>
        <t>Q+1 Beat-Adjusted:
Consensus: $1,538.4M
x (1 + 5.66%)
= $1,625.5M implied</t>
      </text>
    </comment>
  </commentList>
</comments>
</file>

<file path=xl/comments/comment20.xml><?xml version="1.0" encoding="utf-8"?>
<comments xmlns="http://schemas.openxmlformats.org/spreadsheetml/2006/main">
  <authors>
    <author>KIN Model</author>
  </authors>
  <commentList>
    <comment ref="K9" authorId="0" shapeId="0">
      <text>
        <t xml:space="preserve"># HubSpot Q3 2025 Revenue Anomaly Analysis
## Identified Factors Explaining the Revenue Distortion
</t>
      </text>
    </comment>
    <comment ref="N9" authorId="0" shapeId="0">
      <text>
        <t>Q+1 Beat-Adjusted:
Consensus: $863.3M
x (1 + 2.38%)
= $883.9M implied</t>
      </text>
    </comment>
  </commentList>
</comments>
</file>

<file path=xl/comments/comment21.xml><?xml version="1.0" encoding="utf-8"?>
<comments xmlns="http://schemas.openxmlformats.org/spreadsheetml/2006/main">
  <authors>
    <author>KIN Model</author>
  </authors>
  <commentList>
    <comment ref="L9" authorId="0" shapeId="0">
      <text>
        <t># ZS Q4 FY2025 (Quarter Ended 2025-10-31) Revenue Anomaly Analysis
## Note on Transcript Alignment
The transcript is labeled "Q1 FY2026 Earnings Call" (November 25, 2025), which covers the quarter ending October 31, 2025 — this is the same quarter flagged as anomalous. The analysis proceeds acco...</t>
      </text>
    </comment>
    <comment ref="O9" authorId="0" shapeId="0">
      <text>
        <t>Q+1 Beat-Adjusted:
Consensus: $835.6M
x (1 + 1.90%)
= $851.4M implied</t>
      </text>
    </comment>
  </commentList>
</comments>
</file>

<file path=xl/comments/comment22.xml><?xml version="1.0" encoding="utf-8"?>
<comments xmlns="http://schemas.openxmlformats.org/spreadsheetml/2006/main">
  <authors>
    <author>KIN Model</author>
  </authors>
  <commentList>
    <comment ref="O9" authorId="0" shapeId="0">
      <text>
        <t>Q+1 Beat-Adjusted:
Consensus: $1,362.9M
x (1 + 0.94%)
= $1,375.8M implied</t>
      </text>
    </comment>
  </commentList>
</comments>
</file>

<file path=xl/comments/comment23.xml><?xml version="1.0" encoding="utf-8"?>
<comments xmlns="http://schemas.openxmlformats.org/spreadsheetml/2006/main">
  <authors>
    <author>KIN Model</author>
  </authors>
  <commentList>
    <comment ref="O9" authorId="0" shapeId="0">
      <text>
        <t>Q+1 Beat-Adjusted:
Consensus: $752.0M
x (1 + 1.87%)
= $766.1M implied</t>
      </text>
    </comment>
  </commentList>
</comments>
</file>

<file path=xl/comments/comment24.xml><?xml version="1.0" encoding="utf-8"?>
<comments xmlns="http://schemas.openxmlformats.org/spreadsheetml/2006/main">
  <authors>
    <author>KIN Model</author>
  </authors>
  <commentList>
    <comment ref="N9" authorId="0" shapeId="0">
      <text>
        <t>Q+1 Beat-Adjusted:
Consensus: $678.9M
x (1 + 1.78%)
= $691.0M implied</t>
      </text>
    </comment>
  </commentList>
</comments>
</file>

<file path=xl/comments/comment25.xml><?xml version="1.0" encoding="utf-8"?>
<comments xmlns="http://schemas.openxmlformats.org/spreadsheetml/2006/main">
  <authors>
    <author>KIN Model</author>
  </authors>
  <commentList>
    <comment ref="O9" authorId="0" shapeId="0">
      <text>
        <t>Q+1 Beat-Adjusted:
Consensus: $254.5M
x (1 + 2.77%)
= $261.6M implied</t>
      </text>
    </comment>
  </commentList>
</comments>
</file>

<file path=xl/comments/comment26.xml><?xml version="1.0" encoding="utf-8"?>
<comments xmlns="http://schemas.openxmlformats.org/spreadsheetml/2006/main">
  <authors>
    <author>KIN Model</author>
  </authors>
  <commentList>
    <comment ref="N9" authorId="0" shapeId="0">
      <text>
        <t>Q+1 Beat-Adjusted:
Consensus: $403.5M
x (1 + 0.80%)
= $406.7M implied</t>
      </text>
    </comment>
  </commentList>
</comments>
</file>

<file path=xl/comments/comment27.xml><?xml version="1.0" encoding="utf-8"?>
<comments xmlns="http://schemas.openxmlformats.org/spreadsheetml/2006/main">
  <authors>
    <author>KIN Model</author>
  </authors>
  <commentList>
    <comment ref="N9" authorId="0" shapeId="0">
      <text>
        <t>Q+1 Beat-Adjusted:
Consensus: $339.3M
x (1 + 1.66%)
= $344.9M implied</t>
      </text>
    </comment>
  </commentList>
</comments>
</file>

<file path=xl/comments/comment28.xml><?xml version="1.0" encoding="utf-8"?>
<comments xmlns="http://schemas.openxmlformats.org/spreadsheetml/2006/main">
  <authors>
    <author>KIN Model</author>
  </authors>
  <commentList>
    <comment ref="N9" authorId="0" shapeId="0">
      <text>
        <t># Elastic (ESTC) Q3 FY2026 Revenue Anomaly Analysis
## Quarter Ending January 31, 2026
---</t>
      </text>
    </comment>
    <comment ref="O9" authorId="0" shapeId="0">
      <text>
        <t>Q+1 Beat-Adjusted:
Consensus: $446.5M
x (1 + 2.44%)
= $457.4M implied</t>
      </text>
    </comment>
  </commentList>
</comments>
</file>

<file path=xl/comments/comment29.xml><?xml version="1.0" encoding="utf-8"?>
<comments xmlns="http://schemas.openxmlformats.org/spreadsheetml/2006/main">
  <authors>
    <author>KIN Model</author>
  </authors>
  <commentList>
    <comment ref="K9" authorId="0" shapeId="0">
      <text>
        <t xml:space="preserve"># JFrog (FROG) Q3 2025 Revenue Anomaly Analysis
## Identified Factors Explaining the Revenue Distortion
</t>
      </text>
    </comment>
    <comment ref="N9" authorId="0" shapeId="0">
      <text>
        <t>Q+1 Beat-Adjusted:
Consensus: $147.4M
x (1 + 3.86%)
= $153.1M implied</t>
      </text>
    </comment>
  </commentList>
</comments>
</file>

<file path=xl/comments/comment30.xml><?xml version="1.0" encoding="utf-8"?>
<comments xmlns="http://schemas.openxmlformats.org/spreadsheetml/2006/main">
  <authors>
    <author>KIN Model</author>
  </authors>
  <commentList>
    <comment ref="O9" authorId="0" shapeId="0">
      <text>
        <t>Q+1 Beat-Adjusted:
Consensus: $277.4M
x (1 + -0.52%)
= $275.9M implied</t>
      </text>
    </comment>
  </commentList>
</comments>
</file>

<file path=xl/comments/comment31.xml><?xml version="1.0" encoding="utf-8"?>
<comments xmlns="http://schemas.openxmlformats.org/spreadsheetml/2006/main">
  <authors>
    <author>KIN Model</author>
  </authors>
  <commentList>
    <comment ref="N9" authorId="0" shapeId="0">
      <text>
        <t>Q+1 Beat-Adjusted:
Consensus: $302.2M
x (1 + 3.04%)
= $311.4M implied</t>
      </text>
    </comment>
  </commentList>
</comments>
</file>

<file path=xl/comments/comment32.xml><?xml version="1.0" encoding="utf-8"?>
<comments xmlns="http://schemas.openxmlformats.org/spreadsheetml/2006/main">
  <authors>
    <author>KIN Model</author>
  </authors>
  <commentList>
    <comment ref="L9" authorId="0" shapeId="0">
      <text>
        <t># Dynatrace (DT) Q4 2025 Revenue Anomaly Analysis
## Quarter Context Note
The flagged quarter (period ending 2025-12-31) corresponds to Dynatrace's **fiscal Q3 2026** (Dynatrace's fiscal year ends March 31). Revenue of $515,473,000 represents 16% year-over-year growth, and the QoQ increase of $2...</t>
      </text>
    </comment>
    <comment ref="N9" authorId="0" shapeId="0">
      <text>
        <t>Q+1 Beat-Adjusted:
Consensus: $521.0M
x (1 + 1.94%)
= $531.1M implied</t>
      </text>
    </comment>
  </commentList>
</comments>
</file>

<file path=xl/comments/comment33.xml><?xml version="1.0" encoding="utf-8"?>
<comments xmlns="http://schemas.openxmlformats.org/spreadsheetml/2006/main">
  <authors>
    <author>KIN Model</author>
  </authors>
  <commentList>
    <comment ref="N9" authorId="0" shapeId="0">
      <text>
        <t>Q+1 Beat-Adjusted:
Consensus: $1,632.8M
x (1 + 1.56%)
= $1,658.3M implied</t>
      </text>
    </comment>
  </commentList>
</comments>
</file>

<file path=xl/comments/comment34.xml><?xml version="1.0" encoding="utf-8"?>
<comments xmlns="http://schemas.openxmlformats.org/spreadsheetml/2006/main">
  <authors>
    <author>KIN Model</author>
  </authors>
  <commentList>
    <comment ref="K9" authorId="0" shapeId="0">
      <text>
        <t xml:space="preserve"># PCTY Q1 FY2026 (Quarter Ended September 30, 2025) — Revenue Anomaly Analysis
## Context Setting
</t>
      </text>
    </comment>
    <comment ref="N9" authorId="0" shapeId="0">
      <text>
        <t>Q+1 Beat-Adjusted:
Consensus: $489.9M
x (1 + 2.16%)
= $500.5M implied</t>
      </text>
    </comment>
  </commentList>
</comments>
</file>

<file path=xl/comments/comment35.xml><?xml version="1.0" encoding="utf-8"?>
<comments xmlns="http://schemas.openxmlformats.org/spreadsheetml/2006/main">
  <authors>
    <author>KIN Model</author>
  </authors>
  <commentList>
    <comment ref="L9" authorId="0" shapeId="0">
      <text>
        <t xml:space="preserve"># PAYC Q4 2025 Revenue Anomaly Analysis
## Quantitative Context
</t>
      </text>
    </comment>
    <comment ref="N9" authorId="0" shapeId="0">
      <text>
        <t>Q+1 Beat-Adjusted:
Consensus: $565.1M
x (1 + 0.95%)
= $570.5M implied</t>
      </text>
    </comment>
  </commentList>
</comments>
</file>

<file path=xl/comments/comment36.xml><?xml version="1.0" encoding="utf-8"?>
<comments xmlns="http://schemas.openxmlformats.org/spreadsheetml/2006/main">
  <authors>
    <author>KIN Model</author>
  </authors>
  <commentList>
    <comment ref="L9" authorId="0" shapeId="0">
      <text>
        <t># GWRE Q4 FY2025 (Period Ending 2025-10-31) Revenue Anomaly Analysis
## Context Clarification
This earnings call is for **Q1 FY2026** (quarter ending October 31, 2025), which is the quarter under review. The anomaly flags a QoQ decline of -$23.9M (-6.71%), which was **significantly less severe**...</t>
      </text>
    </comment>
    <comment ref="O9" authorId="0" shapeId="0">
      <text>
        <t>Q+1 Beat-Adjusted:
Consensus: $356.0M
x (1 + 4.47%)
= $371.9M implied</t>
      </text>
    </comment>
  </commentList>
</comments>
</file>

<file path=xl/comments/comment37.xml><?xml version="1.0" encoding="utf-8"?>
<comments xmlns="http://schemas.openxmlformats.org/spreadsheetml/2006/main">
  <authors>
    <author>KIN Model</author>
  </authors>
  <commentList>
    <comment ref="N9" authorId="0" shapeId="0">
      <text>
        <t>Q+1 Beat-Adjusted:
Consensus: $419.8M
x (1 + 1.35%)
= $425.5M implied</t>
      </text>
    </comment>
  </commentList>
</comments>
</file>

<file path=xl/comments/comment38.xml><?xml version="1.0" encoding="utf-8"?>
<comments xmlns="http://schemas.openxmlformats.org/spreadsheetml/2006/main">
  <authors>
    <author>KIN Model</author>
  </authors>
  <commentList>
    <comment ref="J9" authorId="0" shapeId="0">
      <text>
        <t xml:space="preserve"># CWAN Revenue Anomaly Analysis: Q2 2025 (flagged as $181.9M vs. prior quarter $126.9M)
## Critical Preliminary Note
</t>
      </text>
    </comment>
    <comment ref="K9" authorId="0" shapeId="0">
      <text>
        <t xml:space="preserve"># CWAN Q3 2025 Revenue Anomaly Analysis
## Executive Summary of the Quarter
</t>
      </text>
    </comment>
    <comment ref="N9" authorId="0" shapeId="0">
      <text>
        <t>Q+1 Beat-Adjusted:
Consensus: $216.9M
x (1 + -3.31%)
= $209.7M implied</t>
      </text>
    </comment>
  </commentList>
</comments>
</file>

<file path=xl/comments/comment39.xml><?xml version="1.0" encoding="utf-8"?>
<comments xmlns="http://schemas.openxmlformats.org/spreadsheetml/2006/main">
  <authors>
    <author>KIN Model</author>
  </authors>
  <commentList>
    <comment ref="N9" authorId="0" shapeId="0">
      <text>
        <t xml:space="preserve"># nCino (NCNO) Q1 FY2027 (Quarter Ended January 31, 2026) Revenue Anomaly Analysis
## Overview of the Anomaly
</t>
      </text>
    </comment>
    <comment ref="O9" authorId="0" shapeId="0">
      <text>
        <t>Q+1 Beat-Adjusted:
Consensus: $155.7M
x (1 + 1.54%)
= $158.1M implied</t>
      </text>
    </comment>
  </commentList>
</comments>
</file>

<file path=xl/comments/comment40.xml><?xml version="1.0" encoding="utf-8"?>
<comments xmlns="http://schemas.openxmlformats.org/spreadsheetml/2006/main">
  <authors>
    <author>KIN Model</author>
  </authors>
  <commentList>
    <comment ref="L9" authorId="0" shapeId="0">
      <text>
        <t># BRZE Q4 FY2026 (Quarter Ended October 31, 2025) Revenue Anomaly Analysis
## Context Note
The flagged quarter (2025-10-31) corresponds to **Q3 FY2026** in Braze's fiscal calendar, with revenue of $190,842,000 (~$191M as reported). The QoQ growth of ~5.96% was 1.55 standard deviations above seas...</t>
      </text>
    </comment>
    <comment ref="N9" authorId="0" shapeId="0">
      <text>
        <t># BRZE Q4 FY2026 (Quarter Ending 2026-01-31) Revenue Anomaly Analysis
## Context Note
The flagged quarter (ending 2026-01-31) corresponds to **Q4 FY2026** in Braze's fiscal calendar — the quarter discussed in this earnings call. The QoQ revenue increase of $14.3M (+7.51%) was approximately 1.84 ...</t>
      </text>
    </comment>
    <comment ref="O9" authorId="0" shapeId="0">
      <text>
        <t>Q+1 Beat-Adjusted:
Consensus: $205.2M
x (1 + 2.27%)
= $209.8M implied</t>
      </text>
    </comment>
  </commentList>
</comments>
</file>

<file path=xl/comments/comment41.xml><?xml version="1.0" encoding="utf-8"?>
<comments xmlns="http://schemas.openxmlformats.org/spreadsheetml/2006/main">
  <authors>
    <author>KIN Model</author>
  </authors>
  <commentList>
    <comment ref="N9" authorId="0" shapeId="0">
      <text>
        <t>Q+1 Beat-Adjusted:
Consensus: $348.6M
x (1 + 4.50%)
= $364.3M implied</t>
      </text>
    </comment>
  </commentList>
</comments>
</file>

<file path=xl/comments/comment42.xml><?xml version="1.0" encoding="utf-8"?>
<comments xmlns="http://schemas.openxmlformats.org/spreadsheetml/2006/main">
  <authors>
    <author>KIN Model</author>
  </authors>
  <commentList>
    <comment ref="N9" authorId="0" shapeId="0">
      <text>
        <t>Q+1 Beat-Adjusted:
Consensus: $352.8M
x (1 + 1.74%)
= $359.0M implied</t>
      </text>
    </comment>
  </commentList>
</comments>
</file>

<file path=xl/comments/comment43.xml><?xml version="1.0" encoding="utf-8"?>
<comments xmlns="http://schemas.openxmlformats.org/spreadsheetml/2006/main">
  <authors>
    <author>KIN Model</author>
  </authors>
  <commentList>
    <comment ref="N9" authorId="0" shapeId="0">
      <text>
        <t>Q+1 Beat-Adjusted:
Consensus: $192.7M
x (1 + -0.04%)
= $192.6M implied</t>
      </text>
    </comment>
  </commentList>
</comments>
</file>

<file path=xl/comments/comment44.xml><?xml version="1.0" encoding="utf-8"?>
<comments xmlns="http://schemas.openxmlformats.org/spreadsheetml/2006/main">
  <authors>
    <author>KIN Model</author>
  </authors>
  <commentList>
    <comment ref="N9" authorId="0" shapeId="0">
      <text>
        <t>Q+1 Beat-Adjusted:
Consensus: $273.7M
x (1 + 2.34%)
= $280.1M implied</t>
      </text>
    </comment>
  </commentList>
</comments>
</file>

<file path=xl/comments/comment45.xml><?xml version="1.0" encoding="utf-8"?>
<comments xmlns="http://schemas.openxmlformats.org/spreadsheetml/2006/main">
  <authors>
    <author>KIN Model</author>
  </authors>
  <commentList>
    <comment ref="K9" authorId="0" shapeId="0">
      <text>
        <t xml:space="preserve"># AZPN Q1 FY2025 (Quarter Ending 2024-09-30) Revenue Anomaly Analysis
## Overview
</t>
      </text>
    </comment>
    <comment ref="N9" authorId="0" shapeId="0">
      <text>
        <t>Q+1 Beat-Adjusted:
Consensus: $288.4M
x (1 + 0.87%)
= $290.9M implied</t>
      </text>
    </comment>
  </commentList>
</comments>
</file>

<file path=xl/comments/comment46.xml><?xml version="1.0" encoding="utf-8"?>
<comments xmlns="http://schemas.openxmlformats.org/spreadsheetml/2006/main">
  <authors>
    <author>KIN Model</author>
  </authors>
  <commentList>
    <comment ref="N9" authorId="0" shapeId="0">
      <text>
        <t>Q+1 Beat-Adjusted:
Consensus: $191.6M
x (1 + 0.56%)
= $192.6M implied</t>
      </text>
    </comment>
  </commentList>
</comments>
</file>

<file path=xl/comments/comment47.xml><?xml version="1.0" encoding="utf-8"?>
<comments xmlns="http://schemas.openxmlformats.org/spreadsheetml/2006/main">
  <authors>
    <author>KIN Model</author>
  </authors>
  <commentList>
    <comment ref="N9" authorId="0" shapeId="0">
      <text>
        <t>Q+1 Beat-Adjusted:
Consensus: $249.7M
x (1 + -0.86%)
= $247.5M implied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9.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0.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1.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2.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3.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4.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5.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6.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7.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8.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0.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1.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2.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3.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4.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5.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6.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7.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8.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9.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0.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1.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2.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3.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4.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5.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46.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47.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48.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49.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sheet1.xml><?xml version="1.0" encoding="utf-8"?>
<worksheet xmlns="http://schemas.openxmlformats.org/spreadsheetml/2006/main">
  <sheetPr>
    <outlinePr summaryBelow="1" summaryRight="1"/>
    <pageSetUpPr/>
  </sheetPr>
  <dimension ref="B1:S53"/>
  <sheetViews>
    <sheetView showGridLines="0" workbookViewId="0">
      <pane ySplit="5" topLeftCell="A6" activePane="bottomLeft" state="frozen"/>
      <selection pane="bottomLeft"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4" customWidth="1" min="8" max="8"/>
    <col width="14" customWidth="1" min="9" max="9"/>
    <col width="14" customWidth="1" min="10" max="10"/>
    <col width="14" customWidth="1" min="11" max="11"/>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B1" s="1" t="inlineStr">
        <is>
          <t>KINETIC REVENUE MODEL</t>
        </is>
      </c>
    </row>
    <row r="2">
      <c r="B2" s="2" t="inlineStr">
        <is>
          <t>Generated April 11, 2026  22:30</t>
        </is>
      </c>
    </row>
    <row r="4">
      <c r="B4" s="3" t="inlineStr">
        <is>
          <t>BEAT CADENCE</t>
        </is>
      </c>
      <c r="C4" s="4" t="n"/>
      <c r="D4" s="4" t="n"/>
      <c r="E4" s="4" t="n"/>
      <c r="F4" s="4" t="n"/>
      <c r="H4" s="3" t="inlineStr">
        <is>
          <t>Q+2 GUIDE INFERENCE</t>
        </is>
      </c>
      <c r="I4" s="4" t="n"/>
      <c r="J4" s="4" t="n"/>
      <c r="K4" s="4" t="n"/>
      <c r="M4" s="3" t="inlineStr">
        <is>
          <t>CONSENSUS COMPARISON</t>
        </is>
      </c>
      <c r="N4" s="4" t="n"/>
      <c r="O4" s="4" t="n"/>
      <c r="P4" s="4" t="n"/>
      <c r="Q4" s="4" t="n"/>
      <c r="R4" s="4" t="n"/>
      <c r="S4" s="4" t="n"/>
    </row>
    <row r="5">
      <c r="B5" s="5" t="inlineStr">
        <is>
          <t>Ticker</t>
        </is>
      </c>
      <c r="C5" s="5" t="inlineStr">
        <is>
          <t>Beat 4Q</t>
        </is>
      </c>
      <c r="D5" s="5" t="inlineStr">
        <is>
          <t>Beat 8Q</t>
        </is>
      </c>
      <c r="E5" s="5" t="inlineStr">
        <is>
          <t>Selected</t>
        </is>
      </c>
      <c r="F5" s="5" t="inlineStr">
        <is>
          <t>Changing?</t>
        </is>
      </c>
      <c r="H5" s="5" t="inlineStr">
        <is>
          <t>Ticker</t>
        </is>
      </c>
      <c r="I5" s="5" t="inlineStr">
        <is>
          <t>Signal</t>
        </is>
      </c>
      <c r="J5" s="5" t="inlineStr">
        <is>
          <t>Gap %</t>
        </is>
      </c>
      <c r="K5" s="5" t="inlineStr">
        <is>
          <t>Momentum</t>
        </is>
      </c>
      <c r="M5" s="5" t="inlineStr">
        <is>
          <t>Ticker</t>
        </is>
      </c>
      <c r="N5" s="5" t="inlineStr">
        <is>
          <t>NxtQ Sig</t>
        </is>
      </c>
      <c r="O5" s="5" t="inlineStr">
        <is>
          <t>Gap%</t>
        </is>
      </c>
      <c r="P5" s="5" t="inlineStr">
        <is>
          <t>FY Sig</t>
        </is>
      </c>
      <c r="Q5" s="5" t="inlineStr">
        <is>
          <t>Gap%</t>
        </is>
      </c>
      <c r="R5" s="5" t="inlineStr">
        <is>
          <t>NxFY Sig</t>
        </is>
      </c>
      <c r="S5" s="5" t="inlineStr">
        <is>
          <t>Gap%</t>
        </is>
      </c>
    </row>
    <row r="6">
      <c r="B6" s="6" t="inlineStr">
        <is>
          <t>SNOW</t>
        </is>
      </c>
      <c r="C6" s="7" t="n">
        <v>0.0334</v>
      </c>
      <c r="D6" s="7" t="n">
        <v>0.0352</v>
      </c>
      <c r="E6" s="7" t="n">
        <v>0.0352</v>
      </c>
      <c r="F6" s="6" t="inlineStr">
        <is>
          <t>No</t>
        </is>
      </c>
      <c r="H6" s="6" t="inlineStr">
        <is>
          <t>SNOW</t>
        </is>
      </c>
      <c r="I6" s="6" t="inlineStr">
        <is>
          <t>N/A</t>
        </is>
      </c>
      <c r="J6" s="6" t="inlineStr">
        <is>
          <t>N/A</t>
        </is>
      </c>
      <c r="K6" s="6" t="inlineStr">
        <is>
          <t>STABLE</t>
        </is>
      </c>
      <c r="M6" s="6" t="inlineStr">
        <is>
          <t>SNOW</t>
        </is>
      </c>
      <c r="N6" s="6" t="inlineStr">
        <is>
          <t>BEAT</t>
        </is>
      </c>
      <c r="O6" s="8" t="n">
        <v>0.0352</v>
      </c>
      <c r="P6" s="6" t="inlineStr">
        <is>
          <t>BEAT</t>
        </is>
      </c>
      <c r="Q6" s="8" t="n">
        <v>0.3711</v>
      </c>
      <c r="R6" s="6" t="inlineStr">
        <is>
          <t>MISS</t>
        </is>
      </c>
      <c r="S6" s="8" t="n">
        <v>-0.7672</v>
      </c>
    </row>
    <row r="7">
      <c r="B7" s="6" t="inlineStr">
        <is>
          <t>DDOG</t>
        </is>
      </c>
      <c r="C7" s="7" t="n">
        <v>0.0371</v>
      </c>
      <c r="D7" s="7" t="n">
        <v>0.0349</v>
      </c>
      <c r="E7" s="7" t="n">
        <v>0.0349</v>
      </c>
      <c r="F7" s="6" t="inlineStr">
        <is>
          <t>No</t>
        </is>
      </c>
      <c r="H7" s="6" t="inlineStr">
        <is>
          <t>DDOG</t>
        </is>
      </c>
      <c r="I7" s="6" t="inlineStr">
        <is>
          <t>N/A</t>
        </is>
      </c>
      <c r="J7" s="6" t="inlineStr">
        <is>
          <t>N/A</t>
        </is>
      </c>
      <c r="K7" s="6" t="inlineStr">
        <is>
          <t>STABLE</t>
        </is>
      </c>
      <c r="M7" s="6" t="inlineStr">
        <is>
          <t>DDOG</t>
        </is>
      </c>
      <c r="N7" s="6" t="inlineStr">
        <is>
          <t>BEAT</t>
        </is>
      </c>
      <c r="O7" s="8" t="n">
        <v>0.0349</v>
      </c>
      <c r="P7" s="6" t="inlineStr">
        <is>
          <t>BEAT</t>
        </is>
      </c>
      <c r="Q7" s="8" t="n">
        <v>0.398</v>
      </c>
      <c r="R7" s="6" t="inlineStr">
        <is>
          <t>MISS</t>
        </is>
      </c>
      <c r="S7" s="8" t="n">
        <v>-1</v>
      </c>
    </row>
    <row r="8">
      <c r="B8" s="6" t="inlineStr">
        <is>
          <t>MDB</t>
        </is>
      </c>
      <c r="C8" s="7" t="n">
        <v>0.0505</v>
      </c>
      <c r="D8" s="7" t="n">
        <v>0.0461</v>
      </c>
      <c r="E8" s="7" t="n">
        <v>0.0505</v>
      </c>
      <c r="F8" s="6" t="inlineStr">
        <is>
          <t>No</t>
        </is>
      </c>
      <c r="H8" s="6" t="inlineStr">
        <is>
          <t>MDB</t>
        </is>
      </c>
      <c r="I8" s="6" t="inlineStr">
        <is>
          <t>N/A</t>
        </is>
      </c>
      <c r="J8" s="6" t="inlineStr">
        <is>
          <t>N/A</t>
        </is>
      </c>
      <c r="K8" s="6" t="inlineStr">
        <is>
          <t>STABLE</t>
        </is>
      </c>
      <c r="M8" s="6" t="inlineStr">
        <is>
          <t>MDB</t>
        </is>
      </c>
      <c r="N8" s="6" t="inlineStr">
        <is>
          <t>BEAT</t>
        </is>
      </c>
      <c r="O8" s="8" t="n">
        <v>0.0505</v>
      </c>
      <c r="P8" s="6" t="inlineStr">
        <is>
          <t>BEAT</t>
        </is>
      </c>
      <c r="Q8" s="8" t="n">
        <v>0.3869</v>
      </c>
      <c r="R8" s="6" t="inlineStr">
        <is>
          <t>MISS</t>
        </is>
      </c>
      <c r="S8" s="8" t="n">
        <v>-0.7517</v>
      </c>
    </row>
    <row r="9">
      <c r="B9" s="6" t="inlineStr">
        <is>
          <t>TENB</t>
        </is>
      </c>
      <c r="C9" s="7" t="n">
        <v>0.0171</v>
      </c>
      <c r="D9" s="7" t="n">
        <v>0.0112</v>
      </c>
      <c r="E9" s="7" t="n">
        <v>0.0171</v>
      </c>
      <c r="F9" s="6" t="inlineStr">
        <is>
          <t>No</t>
        </is>
      </c>
      <c r="H9" s="6" t="inlineStr">
        <is>
          <t>TENB</t>
        </is>
      </c>
      <c r="I9" s="6" t="inlineStr">
        <is>
          <t>N/A</t>
        </is>
      </c>
      <c r="J9" s="6" t="inlineStr">
        <is>
          <t>N/A</t>
        </is>
      </c>
      <c r="K9" s="6" t="inlineStr">
        <is>
          <t>STABLE</t>
        </is>
      </c>
      <c r="M9" s="6" t="inlineStr">
        <is>
          <t>TENB</t>
        </is>
      </c>
      <c r="N9" s="6" t="inlineStr">
        <is>
          <t>BEAT</t>
        </is>
      </c>
      <c r="O9" s="8" t="n">
        <v>0.0171</v>
      </c>
      <c r="P9" s="6" t="inlineStr">
        <is>
          <t>BEAT</t>
        </is>
      </c>
      <c r="Q9" s="8" t="n">
        <v>0.3565</v>
      </c>
      <c r="R9" s="6" t="inlineStr">
        <is>
          <t>MISS</t>
        </is>
      </c>
      <c r="S9" s="8" t="n">
        <v>-1</v>
      </c>
    </row>
    <row r="10">
      <c r="B10" s="6" t="inlineStr">
        <is>
          <t>QLYS</t>
        </is>
      </c>
      <c r="C10" s="7" t="n">
        <v>0.0026</v>
      </c>
      <c r="D10" s="7" t="n">
        <v>0.0067</v>
      </c>
      <c r="E10" s="7" t="n">
        <v>0.0067</v>
      </c>
      <c r="F10" s="6" t="inlineStr">
        <is>
          <t>No</t>
        </is>
      </c>
      <c r="H10" s="6" t="inlineStr">
        <is>
          <t>QLYS</t>
        </is>
      </c>
      <c r="I10" s="6" t="inlineStr">
        <is>
          <t>N/A</t>
        </is>
      </c>
      <c r="J10" s="6" t="inlineStr">
        <is>
          <t>N/A</t>
        </is>
      </c>
      <c r="K10" s="6" t="inlineStr">
        <is>
          <t>STABLE</t>
        </is>
      </c>
      <c r="M10" s="6" t="inlineStr">
        <is>
          <t>QLYS</t>
        </is>
      </c>
      <c r="N10" s="6" t="inlineStr">
        <is>
          <t>BEAT</t>
        </is>
      </c>
      <c r="O10" s="8" t="n">
        <v>0.0067</v>
      </c>
      <c r="P10" s="6" t="inlineStr">
        <is>
          <t>BEAT</t>
        </is>
      </c>
      <c r="Q10" s="8" t="n">
        <v>0.3375</v>
      </c>
      <c r="R10" s="6" t="inlineStr">
        <is>
          <t>MISS</t>
        </is>
      </c>
      <c r="S10" s="8" t="n">
        <v>-1</v>
      </c>
    </row>
    <row r="11">
      <c r="B11" s="6" t="inlineStr">
        <is>
          <t>NOW</t>
        </is>
      </c>
      <c r="C11" s="7" t="n">
        <v>0.0146</v>
      </c>
      <c r="D11" s="7" t="n">
        <v>0.0111</v>
      </c>
      <c r="E11" s="7" t="n">
        <v>0.0111</v>
      </c>
      <c r="F11" s="6" t="inlineStr">
        <is>
          <t>No</t>
        </is>
      </c>
      <c r="H11" s="6" t="inlineStr">
        <is>
          <t>NOW</t>
        </is>
      </c>
      <c r="I11" s="6" t="inlineStr">
        <is>
          <t>N/A</t>
        </is>
      </c>
      <c r="J11" s="6" t="inlineStr">
        <is>
          <t>N/A</t>
        </is>
      </c>
      <c r="K11" s="6" t="inlineStr">
        <is>
          <t>STABLE</t>
        </is>
      </c>
      <c r="M11" s="6" t="inlineStr">
        <is>
          <t>NOW</t>
        </is>
      </c>
      <c r="N11" s="6" t="inlineStr">
        <is>
          <t>BEAT</t>
        </is>
      </c>
      <c r="O11" s="8" t="n">
        <v>0.0111</v>
      </c>
      <c r="P11" s="6" t="inlineStr">
        <is>
          <t>BEAT</t>
        </is>
      </c>
      <c r="Q11" s="8" t="n">
        <v>0.3056</v>
      </c>
      <c r="R11" s="6" t="inlineStr">
        <is>
          <t>MISS</t>
        </is>
      </c>
      <c r="S11" s="8" t="n">
        <v>-1</v>
      </c>
    </row>
    <row r="12">
      <c r="B12" s="6" t="inlineStr">
        <is>
          <t>ADBE</t>
        </is>
      </c>
      <c r="C12" s="7" t="n">
        <v>0.0144</v>
      </c>
      <c r="D12" s="7" t="n">
        <v>0.0111</v>
      </c>
      <c r="E12" s="7" t="n">
        <v>0.0144</v>
      </c>
      <c r="F12" s="6" t="inlineStr">
        <is>
          <t>No</t>
        </is>
      </c>
      <c r="H12" s="6" t="inlineStr">
        <is>
          <t>ADBE</t>
        </is>
      </c>
      <c r="I12" s="6" t="inlineStr">
        <is>
          <t>GUIDE IN-LINE</t>
        </is>
      </c>
      <c r="J12" s="8" t="n">
        <v>0.0077</v>
      </c>
      <c r="K12" s="6" t="inlineStr">
        <is>
          <t>STABLE</t>
        </is>
      </c>
      <c r="M12" s="6" t="inlineStr">
        <is>
          <t>ADBE</t>
        </is>
      </c>
      <c r="N12" s="6" t="inlineStr">
        <is>
          <t>BEAT</t>
        </is>
      </c>
      <c r="O12" s="8" t="n">
        <v>0.0144</v>
      </c>
      <c r="P12" s="6" t="inlineStr">
        <is>
          <t>BEAT</t>
        </is>
      </c>
      <c r="Q12" s="8" t="n">
        <v>0.0146</v>
      </c>
      <c r="R12" s="6" t="inlineStr">
        <is>
          <t>MISS</t>
        </is>
      </c>
      <c r="S12" s="8" t="n">
        <v>-0.7524</v>
      </c>
    </row>
    <row r="13">
      <c r="B13" s="6" t="inlineStr">
        <is>
          <t>INTU</t>
        </is>
      </c>
      <c r="C13" s="7" t="n">
        <v>0.0271</v>
      </c>
      <c r="D13" s="7" t="n">
        <v>0.0291</v>
      </c>
      <c r="E13" s="7" t="n">
        <v>0.0271</v>
      </c>
      <c r="F13" s="6" t="inlineStr">
        <is>
          <t>No</t>
        </is>
      </c>
      <c r="H13" s="6" t="inlineStr">
        <is>
          <t>INTU</t>
        </is>
      </c>
      <c r="I13" s="6" t="inlineStr">
        <is>
          <t>N/A</t>
        </is>
      </c>
      <c r="J13" s="6" t="inlineStr">
        <is>
          <t>N/A</t>
        </is>
      </c>
      <c r="K13" s="6" t="inlineStr">
        <is>
          <t>ACCELERATING</t>
        </is>
      </c>
      <c r="M13" s="6" t="inlineStr">
        <is>
          <t>INTU</t>
        </is>
      </c>
      <c r="N13" s="6" t="inlineStr">
        <is>
          <t>BEAT</t>
        </is>
      </c>
      <c r="O13" s="8" t="n">
        <v>0.0271</v>
      </c>
      <c r="P13" s="6" t="inlineStr">
        <is>
          <t>BEAT</t>
        </is>
      </c>
      <c r="Q13" s="8" t="n">
        <v>0.6973</v>
      </c>
      <c r="R13" s="6" t="inlineStr">
        <is>
          <t>MISS</t>
        </is>
      </c>
      <c r="S13" s="8" t="n">
        <v>-0.7354999999999999</v>
      </c>
    </row>
    <row r="14">
      <c r="B14" s="6" t="inlineStr">
        <is>
          <t>WDAY</t>
        </is>
      </c>
      <c r="C14" s="7" t="n">
        <v>0.0038</v>
      </c>
      <c r="D14" s="7" t="n">
        <v>0.0046</v>
      </c>
      <c r="E14" s="7" t="n">
        <v>0.0046</v>
      </c>
      <c r="F14" s="6" t="inlineStr">
        <is>
          <t>No</t>
        </is>
      </c>
      <c r="H14" s="6" t="inlineStr">
        <is>
          <t>WDAY</t>
        </is>
      </c>
      <c r="I14" s="6" t="inlineStr">
        <is>
          <t>N/A</t>
        </is>
      </c>
      <c r="J14" s="6" t="inlineStr">
        <is>
          <t>N/A</t>
        </is>
      </c>
      <c r="K14" s="6" t="inlineStr">
        <is>
          <t>STABLE</t>
        </is>
      </c>
      <c r="M14" s="6" t="inlineStr">
        <is>
          <t>WDAY</t>
        </is>
      </c>
      <c r="N14" s="6" t="inlineStr">
        <is>
          <t>BEAT</t>
        </is>
      </c>
      <c r="O14" s="8" t="n">
        <v>0.0046</v>
      </c>
      <c r="P14" s="6" t="inlineStr">
        <is>
          <t>BEAT</t>
        </is>
      </c>
      <c r="Q14" s="8" t="n">
        <v>0.3413</v>
      </c>
      <c r="R14" s="6" t="inlineStr">
        <is>
          <t>MISS</t>
        </is>
      </c>
      <c r="S14" s="8" t="n">
        <v>-0.7601</v>
      </c>
    </row>
    <row r="15">
      <c r="B15" s="6" t="inlineStr">
        <is>
          <t>PANW</t>
        </is>
      </c>
      <c r="C15" s="7" t="n">
        <v>0.0069</v>
      </c>
      <c r="D15" s="7" t="n">
        <v>0.0077</v>
      </c>
      <c r="E15" s="7" t="n">
        <v>0.0077</v>
      </c>
      <c r="F15" s="6" t="inlineStr">
        <is>
          <t>No</t>
        </is>
      </c>
      <c r="H15" s="6" t="inlineStr">
        <is>
          <t>PANW</t>
        </is>
      </c>
      <c r="I15" s="6" t="inlineStr">
        <is>
          <t>GUIDE BELOW</t>
        </is>
      </c>
      <c r="J15" s="8" t="n">
        <v>-0.0267</v>
      </c>
      <c r="K15" s="6" t="inlineStr">
        <is>
          <t>STABLE</t>
        </is>
      </c>
      <c r="M15" s="6" t="inlineStr">
        <is>
          <t>PANW</t>
        </is>
      </c>
      <c r="N15" s="6" t="inlineStr">
        <is>
          <t>BEAT</t>
        </is>
      </c>
      <c r="O15" s="8" t="n">
        <v>0.0077</v>
      </c>
      <c r="P15" s="6" t="inlineStr">
        <is>
          <t>MISS</t>
        </is>
      </c>
      <c r="Q15" s="8" t="n">
        <v>-0.0019</v>
      </c>
      <c r="R15" s="6" t="inlineStr">
        <is>
          <t>MISS</t>
        </is>
      </c>
      <c r="S15" s="8" t="n">
        <v>-0.7634000000000001</v>
      </c>
    </row>
    <row r="16">
      <c r="B16" s="6" t="inlineStr">
        <is>
          <t>CDNS</t>
        </is>
      </c>
      <c r="C16" s="7" t="n">
        <v>0.0115</v>
      </c>
      <c r="D16" s="7" t="n">
        <v>0.0133</v>
      </c>
      <c r="E16" s="7" t="n">
        <v>0.0115</v>
      </c>
      <c r="F16" s="6" t="inlineStr">
        <is>
          <t>No</t>
        </is>
      </c>
      <c r="H16" s="6" t="inlineStr">
        <is>
          <t>CDNS</t>
        </is>
      </c>
      <c r="I16" s="6" t="inlineStr">
        <is>
          <t>N/A</t>
        </is>
      </c>
      <c r="J16" s="6" t="inlineStr">
        <is>
          <t>N/A</t>
        </is>
      </c>
      <c r="K16" s="6" t="inlineStr">
        <is>
          <t>ACCELERATING</t>
        </is>
      </c>
      <c r="M16" s="6" t="inlineStr">
        <is>
          <t>CDNS</t>
        </is>
      </c>
      <c r="N16" s="6" t="inlineStr">
        <is>
          <t>BEAT</t>
        </is>
      </c>
      <c r="O16" s="8" t="n">
        <v>0.0115</v>
      </c>
      <c r="P16" s="6" t="inlineStr">
        <is>
          <t>BEAT</t>
        </is>
      </c>
      <c r="Q16" s="8" t="n">
        <v>0.3329</v>
      </c>
      <c r="R16" s="6" t="inlineStr">
        <is>
          <t>MISS</t>
        </is>
      </c>
      <c r="S16" s="8" t="n">
        <v>-1</v>
      </c>
    </row>
    <row r="17">
      <c r="B17" s="6" t="inlineStr">
        <is>
          <t>SNPS</t>
        </is>
      </c>
      <c r="C17" s="7" t="n">
        <v>-0.0008</v>
      </c>
      <c r="D17" s="7" t="n">
        <v>0.002</v>
      </c>
      <c r="E17" s="7" t="n">
        <v>0.002</v>
      </c>
      <c r="F17" s="6" t="inlineStr">
        <is>
          <t>No</t>
        </is>
      </c>
      <c r="H17" s="6" t="inlineStr">
        <is>
          <t>SNPS</t>
        </is>
      </c>
      <c r="I17" s="6" t="inlineStr">
        <is>
          <t>GUIDE BELOW</t>
        </is>
      </c>
      <c r="J17" s="8" t="n">
        <v>-0.0412</v>
      </c>
      <c r="K17" s="6" t="inlineStr">
        <is>
          <t>STABLE</t>
        </is>
      </c>
      <c r="M17" s="6" t="inlineStr">
        <is>
          <t>SNPS</t>
        </is>
      </c>
      <c r="N17" s="6" t="inlineStr">
        <is>
          <t>BEAT</t>
        </is>
      </c>
      <c r="O17" s="8" t="n">
        <v>0.002</v>
      </c>
      <c r="P17" s="6" t="inlineStr">
        <is>
          <t>BEAT</t>
        </is>
      </c>
      <c r="Q17" s="8" t="n">
        <v>0.0198</v>
      </c>
      <c r="R17" s="6" t="inlineStr">
        <is>
          <t>MISS</t>
        </is>
      </c>
      <c r="S17" s="8" t="n">
        <v>-0.7239</v>
      </c>
    </row>
    <row r="18">
      <c r="B18" s="6" t="inlineStr">
        <is>
          <t>ADSK</t>
        </is>
      </c>
      <c r="C18" s="7" t="n">
        <v>0.0204</v>
      </c>
      <c r="D18" s="7" t="n">
        <v>0.0147</v>
      </c>
      <c r="E18" s="7" t="n">
        <v>0.0204</v>
      </c>
      <c r="F18" s="6" t="inlineStr">
        <is>
          <t>No</t>
        </is>
      </c>
      <c r="H18" s="6" t="inlineStr">
        <is>
          <t>ADSK</t>
        </is>
      </c>
      <c r="I18" s="6" t="inlineStr">
        <is>
          <t>N/A</t>
        </is>
      </c>
      <c r="J18" s="6" t="inlineStr">
        <is>
          <t>N/A</t>
        </is>
      </c>
      <c r="K18" s="6" t="inlineStr">
        <is>
          <t>STABLE</t>
        </is>
      </c>
      <c r="M18" s="6" t="inlineStr">
        <is>
          <t>ADSK</t>
        </is>
      </c>
      <c r="N18" s="6" t="inlineStr">
        <is>
          <t>BEAT</t>
        </is>
      </c>
      <c r="O18" s="8" t="n">
        <v>0.0204</v>
      </c>
      <c r="P18" s="6" t="inlineStr">
        <is>
          <t>BEAT</t>
        </is>
      </c>
      <c r="Q18" s="8" t="n">
        <v>0.3617</v>
      </c>
      <c r="R18" s="6" t="inlineStr">
        <is>
          <t>MISS</t>
        </is>
      </c>
      <c r="S18" s="8" t="n">
        <v>-0.748</v>
      </c>
    </row>
    <row r="19">
      <c r="B19" s="6" t="inlineStr">
        <is>
          <t>APP</t>
        </is>
      </c>
      <c r="C19" s="7" t="n">
        <v>0.0445</v>
      </c>
      <c r="D19" s="7" t="n">
        <v>0.05139999999999999</v>
      </c>
      <c r="E19" s="7" t="n">
        <v>0.0445</v>
      </c>
      <c r="F19" s="6" t="inlineStr">
        <is>
          <t>No</t>
        </is>
      </c>
      <c r="H19" s="6" t="inlineStr">
        <is>
          <t>APP</t>
        </is>
      </c>
      <c r="I19" s="6" t="inlineStr">
        <is>
          <t>N/A</t>
        </is>
      </c>
      <c r="J19" s="6" t="inlineStr">
        <is>
          <t>N/A</t>
        </is>
      </c>
      <c r="K19" s="6" t="inlineStr">
        <is>
          <t>STABLE</t>
        </is>
      </c>
      <c r="M19" s="6" t="inlineStr">
        <is>
          <t>APP</t>
        </is>
      </c>
      <c r="N19" s="6" t="inlineStr">
        <is>
          <t>BEAT</t>
        </is>
      </c>
      <c r="O19" s="8" t="n">
        <v>0.0445</v>
      </c>
      <c r="P19" s="6" t="inlineStr">
        <is>
          <t>BEAT</t>
        </is>
      </c>
      <c r="Q19" s="8" t="n">
        <v>0.2608</v>
      </c>
      <c r="R19" s="6" t="inlineStr">
        <is>
          <t>MISS</t>
        </is>
      </c>
      <c r="S19" s="8" t="n">
        <v>-1</v>
      </c>
    </row>
    <row r="20">
      <c r="B20" s="6" t="inlineStr">
        <is>
          <t>FTNT</t>
        </is>
      </c>
      <c r="C20" s="7" t="n">
        <v>0.0101</v>
      </c>
      <c r="D20" s="7" t="n">
        <v>0.0168</v>
      </c>
      <c r="E20" s="7" t="n">
        <v>0.0101</v>
      </c>
      <c r="F20" s="6" t="inlineStr">
        <is>
          <t>No</t>
        </is>
      </c>
      <c r="H20" s="6" t="inlineStr">
        <is>
          <t>FTNT</t>
        </is>
      </c>
      <c r="I20" s="6" t="inlineStr">
        <is>
          <t>N/A</t>
        </is>
      </c>
      <c r="J20" s="6" t="inlineStr">
        <is>
          <t>N/A</t>
        </is>
      </c>
      <c r="K20" s="6" t="inlineStr">
        <is>
          <t>ACCELERATING</t>
        </is>
      </c>
      <c r="M20" s="6" t="inlineStr">
        <is>
          <t>FTNT</t>
        </is>
      </c>
      <c r="N20" s="6" t="inlineStr">
        <is>
          <t>BEAT</t>
        </is>
      </c>
      <c r="O20" s="8" t="n">
        <v>0.0101</v>
      </c>
      <c r="P20" s="6" t="inlineStr">
        <is>
          <t>BEAT</t>
        </is>
      </c>
      <c r="Q20" s="8" t="n">
        <v>0.3147</v>
      </c>
      <c r="R20" s="6" t="inlineStr">
        <is>
          <t>MISS</t>
        </is>
      </c>
      <c r="S20" s="8" t="n">
        <v>-1</v>
      </c>
    </row>
    <row r="21">
      <c r="B21" s="6" t="inlineStr">
        <is>
          <t>TEAM</t>
        </is>
      </c>
      <c r="C21" s="7" t="n">
        <v>0.0159</v>
      </c>
      <c r="D21" s="7" t="n">
        <v>0.0267</v>
      </c>
      <c r="E21" s="7" t="n">
        <v>0.0159</v>
      </c>
      <c r="F21" s="6" t="inlineStr">
        <is>
          <t>No</t>
        </is>
      </c>
      <c r="H21" s="6" t="inlineStr">
        <is>
          <t>TEAM</t>
        </is>
      </c>
      <c r="I21" s="6" t="inlineStr">
        <is>
          <t>GUIDE ABOVE</t>
        </is>
      </c>
      <c r="J21" s="8" t="n">
        <v>0.0257</v>
      </c>
      <c r="K21" s="6" t="inlineStr">
        <is>
          <t>ACCELERATING</t>
        </is>
      </c>
      <c r="M21" s="6" t="inlineStr">
        <is>
          <t>TEAM</t>
        </is>
      </c>
      <c r="N21" s="6" t="inlineStr">
        <is>
          <t>BEAT</t>
        </is>
      </c>
      <c r="O21" s="8" t="n">
        <v>0.0159</v>
      </c>
      <c r="P21" s="6" t="inlineStr">
        <is>
          <t>BEAT</t>
        </is>
      </c>
      <c r="Q21" s="8" t="n">
        <v>0.0357</v>
      </c>
      <c r="R21" s="6" t="inlineStr">
        <is>
          <t>MISS</t>
        </is>
      </c>
      <c r="S21" s="8" t="n">
        <v>-1</v>
      </c>
    </row>
    <row r="22">
      <c r="B22" s="6" t="inlineStr">
        <is>
          <t>VEEV</t>
        </is>
      </c>
      <c r="C22" s="7" t="n">
        <v>0.0281</v>
      </c>
      <c r="D22" s="7" t="n">
        <v>0.0238</v>
      </c>
      <c r="E22" s="7" t="n">
        <v>0.0281</v>
      </c>
      <c r="F22" s="6" t="inlineStr">
        <is>
          <t>No</t>
        </is>
      </c>
      <c r="H22" s="6" t="inlineStr">
        <is>
          <t>VEEV</t>
        </is>
      </c>
      <c r="I22" s="6" t="inlineStr">
        <is>
          <t>N/A</t>
        </is>
      </c>
      <c r="J22" s="6" t="inlineStr">
        <is>
          <t>N/A</t>
        </is>
      </c>
      <c r="K22" s="6" t="inlineStr">
        <is>
          <t>STABLE</t>
        </is>
      </c>
      <c r="M22" s="6" t="inlineStr">
        <is>
          <t>VEEV</t>
        </is>
      </c>
      <c r="N22" s="6" t="inlineStr">
        <is>
          <t>BEAT</t>
        </is>
      </c>
      <c r="O22" s="8" t="n">
        <v>0.0281</v>
      </c>
      <c r="P22" s="6" t="inlineStr">
        <is>
          <t>BEAT</t>
        </is>
      </c>
      <c r="Q22" s="8" t="n">
        <v>0.3676</v>
      </c>
      <c r="R22" s="6" t="inlineStr">
        <is>
          <t>MISS</t>
        </is>
      </c>
      <c r="S22" s="8" t="n">
        <v>-0.7556</v>
      </c>
    </row>
    <row r="23">
      <c r="B23" s="6" t="inlineStr">
        <is>
          <t>ROP</t>
        </is>
      </c>
      <c r="C23" s="7" t="n">
        <v>-0.0012</v>
      </c>
      <c r="D23" s="7" t="n">
        <v>0.005699999999999999</v>
      </c>
      <c r="E23" s="7" t="n">
        <v>-0.0012</v>
      </c>
      <c r="F23" s="6" t="inlineStr">
        <is>
          <t>No</t>
        </is>
      </c>
      <c r="H23" s="6" t="inlineStr">
        <is>
          <t>ROP</t>
        </is>
      </c>
      <c r="I23" s="6" t="inlineStr">
        <is>
          <t>N/A</t>
        </is>
      </c>
      <c r="J23" s="6" t="inlineStr">
        <is>
          <t>N/A</t>
        </is>
      </c>
      <c r="K23" s="6" t="inlineStr">
        <is>
          <t>STABLE</t>
        </is>
      </c>
      <c r="M23" s="6" t="inlineStr">
        <is>
          <t>ROP</t>
        </is>
      </c>
      <c r="N23" s="6" t="inlineStr">
        <is>
          <t>MISS</t>
        </is>
      </c>
      <c r="O23" s="8" t="n">
        <v>-0.0012</v>
      </c>
      <c r="P23" s="6" t="inlineStr">
        <is>
          <t>BEAT</t>
        </is>
      </c>
      <c r="Q23" s="8" t="n">
        <v>0.3047</v>
      </c>
      <c r="R23" s="6" t="inlineStr">
        <is>
          <t>MISS</t>
        </is>
      </c>
      <c r="S23" s="8" t="n">
        <v>-1</v>
      </c>
    </row>
    <row r="24">
      <c r="B24" s="6" t="inlineStr">
        <is>
          <t>PLTR</t>
        </is>
      </c>
      <c r="C24" s="7" t="n">
        <v>0.0566</v>
      </c>
      <c r="D24" s="7" t="n">
        <v>0.0345</v>
      </c>
      <c r="E24" s="7" t="n">
        <v>0.0566</v>
      </c>
      <c r="F24" s="6" t="inlineStr">
        <is>
          <t>YES</t>
        </is>
      </c>
      <c r="H24" s="6" t="inlineStr">
        <is>
          <t>PLTR</t>
        </is>
      </c>
      <c r="I24" s="6" t="inlineStr">
        <is>
          <t>N/A</t>
        </is>
      </c>
      <c r="J24" s="6" t="inlineStr">
        <is>
          <t>N/A</t>
        </is>
      </c>
      <c r="K24" s="6" t="inlineStr">
        <is>
          <t>ACCELERATING</t>
        </is>
      </c>
      <c r="M24" s="6" t="inlineStr">
        <is>
          <t>PLTR</t>
        </is>
      </c>
      <c r="N24" s="6" t="inlineStr">
        <is>
          <t>BEAT</t>
        </is>
      </c>
      <c r="O24" s="8" t="n">
        <v>0.0566</v>
      </c>
      <c r="P24" s="6" t="inlineStr">
        <is>
          <t>BEAT</t>
        </is>
      </c>
      <c r="Q24" s="8" t="n">
        <v>0.3427</v>
      </c>
      <c r="R24" s="6" t="inlineStr">
        <is>
          <t>MISS</t>
        </is>
      </c>
      <c r="S24" s="8" t="n">
        <v>-1</v>
      </c>
    </row>
    <row r="25">
      <c r="B25" s="6" t="inlineStr">
        <is>
          <t>HUBS</t>
        </is>
      </c>
      <c r="C25" s="7" t="n">
        <v>0.0238</v>
      </c>
      <c r="D25" s="7" t="n">
        <v>0.0296</v>
      </c>
      <c r="E25" s="7" t="n">
        <v>0.0238</v>
      </c>
      <c r="F25" s="6" t="inlineStr">
        <is>
          <t>No</t>
        </is>
      </c>
      <c r="H25" s="6" t="inlineStr">
        <is>
          <t>HUBS</t>
        </is>
      </c>
      <c r="I25" s="6" t="inlineStr">
        <is>
          <t>N/A</t>
        </is>
      </c>
      <c r="J25" s="6" t="inlineStr">
        <is>
          <t>N/A</t>
        </is>
      </c>
      <c r="K25" s="6" t="inlineStr">
        <is>
          <t>STABLE</t>
        </is>
      </c>
      <c r="M25" s="6" t="inlineStr">
        <is>
          <t>HUBS</t>
        </is>
      </c>
      <c r="N25" s="6" t="inlineStr">
        <is>
          <t>BEAT</t>
        </is>
      </c>
      <c r="O25" s="8" t="n">
        <v>0.0238</v>
      </c>
      <c r="P25" s="6" t="inlineStr">
        <is>
          <t>BEAT</t>
        </is>
      </c>
      <c r="Q25" s="8" t="n">
        <v>0.3381</v>
      </c>
      <c r="R25" s="6" t="inlineStr">
        <is>
          <t>MISS</t>
        </is>
      </c>
      <c r="S25" s="8" t="n">
        <v>-1</v>
      </c>
    </row>
    <row r="26">
      <c r="B26" s="6" t="inlineStr">
        <is>
          <t>ZS</t>
        </is>
      </c>
      <c r="C26" s="7" t="n">
        <v>0.019</v>
      </c>
      <c r="D26" s="7" t="n">
        <v>0.0264</v>
      </c>
      <c r="E26" s="7" t="n">
        <v>0.019</v>
      </c>
      <c r="F26" s="6" t="inlineStr">
        <is>
          <t>No</t>
        </is>
      </c>
      <c r="H26" s="6" t="inlineStr">
        <is>
          <t>ZS</t>
        </is>
      </c>
      <c r="I26" s="6" t="inlineStr">
        <is>
          <t>N/A</t>
        </is>
      </c>
      <c r="J26" s="6" t="inlineStr">
        <is>
          <t>N/A</t>
        </is>
      </c>
      <c r="K26" s="6" t="inlineStr">
        <is>
          <t>STABLE</t>
        </is>
      </c>
      <c r="M26" s="6" t="inlineStr">
        <is>
          <t>ZS</t>
        </is>
      </c>
      <c r="N26" s="6" t="inlineStr">
        <is>
          <t>BEAT</t>
        </is>
      </c>
      <c r="O26" s="8" t="n">
        <v>0.019</v>
      </c>
      <c r="P26" s="6" t="inlineStr">
        <is>
          <t>BEAT</t>
        </is>
      </c>
      <c r="Q26" s="8" t="n">
        <v>1.1284</v>
      </c>
      <c r="R26" s="6" t="inlineStr">
        <is>
          <t>N/A</t>
        </is>
      </c>
    </row>
    <row r="27">
      <c r="B27" s="6" t="inlineStr">
        <is>
          <t>CRWD</t>
        </is>
      </c>
      <c r="C27" s="7" t="n">
        <v>0.009399999999999999</v>
      </c>
      <c r="D27" s="7" t="n">
        <v>0.0138</v>
      </c>
      <c r="E27" s="7" t="n">
        <v>0.009399999999999999</v>
      </c>
      <c r="F27" s="6" t="inlineStr">
        <is>
          <t>No</t>
        </is>
      </c>
      <c r="H27" s="6" t="inlineStr">
        <is>
          <t>CRWD</t>
        </is>
      </c>
      <c r="I27" s="6" t="inlineStr">
        <is>
          <t>N/A</t>
        </is>
      </c>
      <c r="J27" s="6" t="inlineStr">
        <is>
          <t>N/A</t>
        </is>
      </c>
      <c r="K27" s="6" t="inlineStr">
        <is>
          <t>STABLE</t>
        </is>
      </c>
      <c r="M27" s="6" t="inlineStr">
        <is>
          <t>CRWD</t>
        </is>
      </c>
      <c r="N27" s="6" t="inlineStr">
        <is>
          <t>BEAT</t>
        </is>
      </c>
      <c r="O27" s="8" t="n">
        <v>0.009399999999999999</v>
      </c>
      <c r="P27" s="6" t="inlineStr">
        <is>
          <t>BEAT</t>
        </is>
      </c>
      <c r="Q27" s="8" t="n">
        <v>0.3477</v>
      </c>
      <c r="R27" s="6" t="inlineStr">
        <is>
          <t>MISS</t>
        </is>
      </c>
      <c r="S27" s="8" t="n">
        <v>-0.7692</v>
      </c>
    </row>
    <row r="28">
      <c r="B28" s="6" t="inlineStr">
        <is>
          <t>OKTA</t>
        </is>
      </c>
      <c r="C28" s="7" t="n">
        <v>0.016</v>
      </c>
      <c r="D28" s="7" t="n">
        <v>0.0187</v>
      </c>
      <c r="E28" s="7" t="n">
        <v>0.0187</v>
      </c>
      <c r="F28" s="6" t="inlineStr">
        <is>
          <t>No</t>
        </is>
      </c>
      <c r="H28" s="6" t="inlineStr">
        <is>
          <t>OKTA</t>
        </is>
      </c>
      <c r="I28" s="6" t="inlineStr">
        <is>
          <t>N/A</t>
        </is>
      </c>
      <c r="J28" s="6" t="inlineStr">
        <is>
          <t>N/A</t>
        </is>
      </c>
      <c r="K28" s="6" t="inlineStr">
        <is>
          <t>STABLE</t>
        </is>
      </c>
      <c r="M28" s="6" t="inlineStr">
        <is>
          <t>OKTA</t>
        </is>
      </c>
      <c r="N28" s="6" t="inlineStr">
        <is>
          <t>BEAT</t>
        </is>
      </c>
      <c r="O28" s="8" t="n">
        <v>0.0187</v>
      </c>
      <c r="P28" s="6" t="inlineStr">
        <is>
          <t>BEAT</t>
        </is>
      </c>
      <c r="Q28" s="8" t="n">
        <v>0.3616</v>
      </c>
      <c r="R28" s="6" t="inlineStr">
        <is>
          <t>MISS</t>
        </is>
      </c>
      <c r="S28" s="8" t="n">
        <v>-0.7504999999999999</v>
      </c>
    </row>
    <row r="29">
      <c r="B29" s="6" t="inlineStr">
        <is>
          <t>TTD</t>
        </is>
      </c>
      <c r="C29" s="7" t="n">
        <v>0.0298</v>
      </c>
      <c r="D29" s="7" t="n">
        <v>0.0178</v>
      </c>
      <c r="E29" s="7" t="n">
        <v>0.0178</v>
      </c>
      <c r="F29" s="6" t="inlineStr">
        <is>
          <t>No</t>
        </is>
      </c>
      <c r="H29" s="6" t="inlineStr">
        <is>
          <t>TTD</t>
        </is>
      </c>
      <c r="I29" s="6" t="inlineStr">
        <is>
          <t>N/A</t>
        </is>
      </c>
      <c r="J29" s="6" t="inlineStr">
        <is>
          <t>N/A</t>
        </is>
      </c>
      <c r="K29" s="6" t="inlineStr">
        <is>
          <t>STABLE</t>
        </is>
      </c>
      <c r="M29" s="6" t="inlineStr">
        <is>
          <t>TTD</t>
        </is>
      </c>
      <c r="N29" s="6" t="inlineStr">
        <is>
          <t>BEAT</t>
        </is>
      </c>
      <c r="O29" s="8" t="n">
        <v>0.0178</v>
      </c>
      <c r="P29" s="6" t="inlineStr">
        <is>
          <t>BEAT</t>
        </is>
      </c>
      <c r="Q29" s="8" t="n">
        <v>0.2606</v>
      </c>
      <c r="R29" s="6" t="inlineStr">
        <is>
          <t>MISS</t>
        </is>
      </c>
      <c r="S29" s="8" t="n">
        <v>-1</v>
      </c>
    </row>
    <row r="30">
      <c r="B30" s="6" t="inlineStr">
        <is>
          <t>GTLB</t>
        </is>
      </c>
      <c r="C30" s="7" t="n">
        <v>0.0252</v>
      </c>
      <c r="D30" s="7" t="n">
        <v>0.0277</v>
      </c>
      <c r="E30" s="7" t="n">
        <v>0.0277</v>
      </c>
      <c r="F30" s="6" t="inlineStr">
        <is>
          <t>No</t>
        </is>
      </c>
      <c r="H30" s="6" t="inlineStr">
        <is>
          <t>GTLB</t>
        </is>
      </c>
      <c r="I30" s="6" t="inlineStr">
        <is>
          <t>N/A</t>
        </is>
      </c>
      <c r="J30" s="6" t="inlineStr">
        <is>
          <t>N/A</t>
        </is>
      </c>
      <c r="K30" s="6" t="inlineStr">
        <is>
          <t>STABLE</t>
        </is>
      </c>
      <c r="M30" s="6" t="inlineStr">
        <is>
          <t>GTLB</t>
        </is>
      </c>
      <c r="N30" s="6" t="inlineStr">
        <is>
          <t>BEAT</t>
        </is>
      </c>
      <c r="O30" s="8" t="n">
        <v>0.0277</v>
      </c>
      <c r="P30" s="6" t="inlineStr">
        <is>
          <t>BEAT</t>
        </is>
      </c>
      <c r="Q30" s="8" t="n">
        <v>0.3754999999999999</v>
      </c>
      <c r="R30" s="6" t="inlineStr">
        <is>
          <t>MISS</t>
        </is>
      </c>
      <c r="S30" s="8" t="n">
        <v>-0.7506999999999999</v>
      </c>
    </row>
    <row r="31">
      <c r="B31" s="6" t="inlineStr">
        <is>
          <t>BILL</t>
        </is>
      </c>
      <c r="C31" s="7" t="n">
        <v>-0.0058</v>
      </c>
      <c r="D31" s="7" t="n">
        <v>0.008</v>
      </c>
      <c r="E31" s="7" t="n">
        <v>0.008</v>
      </c>
      <c r="F31" s="6" t="inlineStr">
        <is>
          <t>No</t>
        </is>
      </c>
      <c r="H31" s="6" t="inlineStr">
        <is>
          <t>BILL</t>
        </is>
      </c>
      <c r="I31" s="6" t="inlineStr">
        <is>
          <t>GUIDE IN-LINE</t>
        </is>
      </c>
      <c r="J31" s="8" t="n">
        <v>-0.0135</v>
      </c>
      <c r="K31" s="6" t="inlineStr">
        <is>
          <t>STABLE</t>
        </is>
      </c>
      <c r="M31" s="6" t="inlineStr">
        <is>
          <t>BILL</t>
        </is>
      </c>
      <c r="N31" s="6" t="inlineStr">
        <is>
          <t>BEAT</t>
        </is>
      </c>
      <c r="O31" s="8" t="n">
        <v>0.008</v>
      </c>
      <c r="P31" s="6" t="inlineStr">
        <is>
          <t>MISS</t>
        </is>
      </c>
      <c r="Q31" s="8" t="n">
        <v>-0.0004</v>
      </c>
      <c r="R31" s="6" t="inlineStr">
        <is>
          <t>MISS</t>
        </is>
      </c>
      <c r="S31" s="8" t="n">
        <v>-1</v>
      </c>
    </row>
    <row r="32">
      <c r="B32" s="6" t="inlineStr">
        <is>
          <t>MNDY</t>
        </is>
      </c>
      <c r="C32" s="7" t="n">
        <v>0.0166</v>
      </c>
      <c r="D32" s="7" t="n">
        <v>0.0076</v>
      </c>
      <c r="E32" s="7" t="n">
        <v>0.0166</v>
      </c>
      <c r="F32" s="6" t="inlineStr">
        <is>
          <t>No</t>
        </is>
      </c>
      <c r="H32" s="6" t="inlineStr">
        <is>
          <t>MNDY</t>
        </is>
      </c>
      <c r="I32" s="6" t="inlineStr">
        <is>
          <t>N/A</t>
        </is>
      </c>
      <c r="J32" s="6" t="inlineStr">
        <is>
          <t>N/A</t>
        </is>
      </c>
      <c r="K32" s="6" t="inlineStr">
        <is>
          <t>STABLE</t>
        </is>
      </c>
      <c r="M32" s="6" t="inlineStr">
        <is>
          <t>MNDY</t>
        </is>
      </c>
      <c r="N32" s="6" t="inlineStr">
        <is>
          <t>BEAT</t>
        </is>
      </c>
      <c r="O32" s="8" t="n">
        <v>0.0166</v>
      </c>
      <c r="P32" s="6" t="inlineStr">
        <is>
          <t>BEAT</t>
        </is>
      </c>
      <c r="Q32" s="8" t="n">
        <v>0.3442</v>
      </c>
      <c r="R32" s="6" t="inlineStr">
        <is>
          <t>MISS</t>
        </is>
      </c>
      <c r="S32" s="8" t="n">
        <v>-1</v>
      </c>
    </row>
    <row r="33">
      <c r="B33" s="6" t="inlineStr">
        <is>
          <t>CFLT</t>
        </is>
      </c>
      <c r="C33" s="7" t="n">
        <v>-0.0048</v>
      </c>
      <c r="D33" s="7" t="n">
        <v>0.0026</v>
      </c>
      <c r="E33" s="7" t="n">
        <v>0.0026</v>
      </c>
      <c r="F33" s="6" t="inlineStr">
        <is>
          <t>No</t>
        </is>
      </c>
      <c r="H33" s="6" t="inlineStr">
        <is>
          <t>CFLT</t>
        </is>
      </c>
      <c r="I33" s="6" t="inlineStr">
        <is>
          <t>N/A</t>
        </is>
      </c>
      <c r="J33" s="6" t="inlineStr">
        <is>
          <t>N/A</t>
        </is>
      </c>
      <c r="K33" s="6" t="inlineStr">
        <is>
          <t>ACCELERATING</t>
        </is>
      </c>
      <c r="M33" s="6" t="inlineStr">
        <is>
          <t>CFLT</t>
        </is>
      </c>
      <c r="N33" s="6" t="inlineStr">
        <is>
          <t>N/A</t>
        </is>
      </c>
      <c r="P33" s="6" t="inlineStr">
        <is>
          <t>BEAT</t>
        </is>
      </c>
      <c r="Q33" s="8" t="n">
        <v>2.8073</v>
      </c>
      <c r="R33" s="6" t="inlineStr">
        <is>
          <t>MISS</t>
        </is>
      </c>
      <c r="S33" s="8" t="n">
        <v>-1</v>
      </c>
    </row>
    <row r="34">
      <c r="B34" s="6" t="inlineStr">
        <is>
          <t>ESTC</t>
        </is>
      </c>
      <c r="C34" s="7" t="n">
        <v>0.0262</v>
      </c>
      <c r="D34" s="7" t="n">
        <v>0.0244</v>
      </c>
      <c r="E34" s="7" t="n">
        <v>0.0244</v>
      </c>
      <c r="F34" s="6" t="inlineStr">
        <is>
          <t>No</t>
        </is>
      </c>
      <c r="H34" s="6" t="inlineStr">
        <is>
          <t>ESTC</t>
        </is>
      </c>
      <c r="I34" s="6" t="inlineStr">
        <is>
          <t>GUIDE IN-LINE</t>
        </is>
      </c>
      <c r="J34" s="8" t="n">
        <v>-0.0178</v>
      </c>
      <c r="K34" s="6" t="inlineStr">
        <is>
          <t>STABLE</t>
        </is>
      </c>
      <c r="M34" s="6" t="inlineStr">
        <is>
          <t>ESTC</t>
        </is>
      </c>
      <c r="N34" s="6" t="inlineStr">
        <is>
          <t>BEAT</t>
        </is>
      </c>
      <c r="O34" s="8" t="n">
        <v>0.0244</v>
      </c>
      <c r="P34" s="6" t="inlineStr">
        <is>
          <t>BEAT</t>
        </is>
      </c>
      <c r="Q34" s="8" t="n">
        <v>0.012</v>
      </c>
      <c r="R34" s="6" t="inlineStr">
        <is>
          <t>MISS</t>
        </is>
      </c>
      <c r="S34" s="8" t="n">
        <v>-0.7593000000000001</v>
      </c>
    </row>
    <row r="35">
      <c r="B35" s="6" t="inlineStr">
        <is>
          <t>FROG</t>
        </is>
      </c>
      <c r="C35" s="7" t="n">
        <v>0.0386</v>
      </c>
      <c r="D35" s="7" t="n">
        <v>0.0171</v>
      </c>
      <c r="E35" s="7" t="n">
        <v>0.0386</v>
      </c>
      <c r="F35" s="6" t="inlineStr">
        <is>
          <t>YES</t>
        </is>
      </c>
      <c r="H35" s="6" t="inlineStr">
        <is>
          <t>FROG</t>
        </is>
      </c>
      <c r="I35" s="6" t="inlineStr">
        <is>
          <t>N/A</t>
        </is>
      </c>
      <c r="J35" s="6" t="inlineStr">
        <is>
          <t>N/A</t>
        </is>
      </c>
      <c r="K35" s="6" t="inlineStr">
        <is>
          <t>STABLE</t>
        </is>
      </c>
      <c r="M35" s="6" t="inlineStr">
        <is>
          <t>FROG</t>
        </is>
      </c>
      <c r="N35" s="6" t="inlineStr">
        <is>
          <t>BEAT</t>
        </is>
      </c>
      <c r="O35" s="8" t="n">
        <v>0.0386</v>
      </c>
      <c r="P35" s="6" t="inlineStr">
        <is>
          <t>BEAT</t>
        </is>
      </c>
      <c r="Q35" s="8" t="n">
        <v>0.3707</v>
      </c>
      <c r="R35" s="6" t="inlineStr">
        <is>
          <t>MISS</t>
        </is>
      </c>
      <c r="S35" s="8" t="n">
        <v>-1</v>
      </c>
    </row>
    <row r="36">
      <c r="B36" s="6" t="inlineStr">
        <is>
          <t>S</t>
        </is>
      </c>
      <c r="C36" s="7" t="n">
        <v>-0.0102</v>
      </c>
      <c r="D36" s="7" t="n">
        <v>-0.0052</v>
      </c>
      <c r="E36" s="7" t="n">
        <v>-0.0052</v>
      </c>
      <c r="F36" s="6" t="inlineStr">
        <is>
          <t>No</t>
        </is>
      </c>
      <c r="H36" s="6" t="inlineStr">
        <is>
          <t>S</t>
        </is>
      </c>
      <c r="I36" s="6" t="inlineStr">
        <is>
          <t>N/A</t>
        </is>
      </c>
      <c r="J36" s="6" t="inlineStr">
        <is>
          <t>N/A</t>
        </is>
      </c>
      <c r="K36" s="6" t="inlineStr">
        <is>
          <t>STABLE</t>
        </is>
      </c>
      <c r="M36" s="6" t="inlineStr">
        <is>
          <t>S</t>
        </is>
      </c>
      <c r="N36" s="6" t="inlineStr">
        <is>
          <t>MISS</t>
        </is>
      </c>
      <c r="O36" s="8" t="n">
        <v>-0.0052</v>
      </c>
      <c r="P36" s="6" t="inlineStr">
        <is>
          <t>BEAT</t>
        </is>
      </c>
      <c r="Q36" s="8" t="n">
        <v>0.3323</v>
      </c>
      <c r="R36" s="6" t="inlineStr">
        <is>
          <t>MISS</t>
        </is>
      </c>
      <c r="S36" s="8" t="n">
        <v>-0.7648999999999999</v>
      </c>
    </row>
    <row r="37">
      <c r="B37" s="6" t="inlineStr">
        <is>
          <t>ZI</t>
        </is>
      </c>
      <c r="C37" s="7" t="n">
        <v>0.0304</v>
      </c>
      <c r="D37" s="7" t="n">
        <v>0.0159</v>
      </c>
      <c r="E37" s="7" t="n">
        <v>0.0304</v>
      </c>
      <c r="F37" s="6" t="inlineStr">
        <is>
          <t>No</t>
        </is>
      </c>
      <c r="H37" s="6" t="inlineStr">
        <is>
          <t>ZI</t>
        </is>
      </c>
      <c r="I37" s="6" t="inlineStr">
        <is>
          <t>GUIDE IN-LINE</t>
        </is>
      </c>
      <c r="J37" s="8" t="n">
        <v>0.012</v>
      </c>
      <c r="K37" s="6" t="inlineStr">
        <is>
          <t>STABLE</t>
        </is>
      </c>
      <c r="M37" s="6" t="inlineStr">
        <is>
          <t>ZI</t>
        </is>
      </c>
      <c r="N37" s="6" t="inlineStr">
        <is>
          <t>BEAT</t>
        </is>
      </c>
      <c r="O37" s="8" t="n">
        <v>0.0304</v>
      </c>
      <c r="P37" s="6" t="inlineStr">
        <is>
          <t>BEAT</t>
        </is>
      </c>
      <c r="Q37" s="8" t="n">
        <v>0.0557</v>
      </c>
      <c r="R37" s="6" t="inlineStr">
        <is>
          <t>MISS</t>
        </is>
      </c>
      <c r="S37" s="8" t="n">
        <v>-1</v>
      </c>
    </row>
    <row r="38">
      <c r="B38" s="6" t="inlineStr">
        <is>
          <t>DT</t>
        </is>
      </c>
      <c r="C38" s="7" t="n">
        <v>0.0194</v>
      </c>
      <c r="D38" s="7" t="n">
        <v>0.0177</v>
      </c>
      <c r="E38" s="7" t="n">
        <v>0.0194</v>
      </c>
      <c r="F38" s="6" t="inlineStr">
        <is>
          <t>No</t>
        </is>
      </c>
      <c r="H38" s="6" t="inlineStr">
        <is>
          <t>DT</t>
        </is>
      </c>
      <c r="I38" s="6" t="inlineStr">
        <is>
          <t>GUIDE IN-LINE</t>
        </is>
      </c>
      <c r="J38" s="8" t="n">
        <v>0.008399999999999999</v>
      </c>
      <c r="K38" s="6" t="inlineStr">
        <is>
          <t>STABLE</t>
        </is>
      </c>
      <c r="M38" s="6" t="inlineStr">
        <is>
          <t>DT</t>
        </is>
      </c>
      <c r="N38" s="6" t="inlineStr">
        <is>
          <t>BEAT</t>
        </is>
      </c>
      <c r="O38" s="8" t="n">
        <v>0.0194</v>
      </c>
      <c r="P38" s="6" t="inlineStr">
        <is>
          <t>BEAT</t>
        </is>
      </c>
      <c r="Q38" s="8" t="n">
        <v>0.0212</v>
      </c>
      <c r="R38" s="6" t="inlineStr">
        <is>
          <t>MISS</t>
        </is>
      </c>
      <c r="S38" s="8" t="n">
        <v>-1</v>
      </c>
    </row>
    <row r="39">
      <c r="B39" s="6" t="inlineStr">
        <is>
          <t>TOST</t>
        </is>
      </c>
      <c r="C39" s="7" t="n">
        <v>0.0124</v>
      </c>
      <c r="D39" s="7" t="n">
        <v>0.0156</v>
      </c>
      <c r="E39" s="7" t="n">
        <v>0.0156</v>
      </c>
      <c r="F39" s="6" t="inlineStr">
        <is>
          <t>No</t>
        </is>
      </c>
      <c r="H39" s="6" t="inlineStr">
        <is>
          <t>TOST</t>
        </is>
      </c>
      <c r="I39" s="6" t="inlineStr">
        <is>
          <t>N/A</t>
        </is>
      </c>
      <c r="J39" s="6" t="inlineStr">
        <is>
          <t>N/A</t>
        </is>
      </c>
      <c r="K39" s="6" t="inlineStr">
        <is>
          <t>DECELERATING</t>
        </is>
      </c>
      <c r="M39" s="6" t="inlineStr">
        <is>
          <t>TOST</t>
        </is>
      </c>
      <c r="N39" s="6" t="inlineStr">
        <is>
          <t>BEAT</t>
        </is>
      </c>
      <c r="O39" s="8" t="n">
        <v>0.0156</v>
      </c>
      <c r="P39" s="6" t="inlineStr">
        <is>
          <t>BEAT</t>
        </is>
      </c>
      <c r="Q39" s="8" t="n">
        <v>0.3411999999999999</v>
      </c>
      <c r="R39" s="6" t="inlineStr">
        <is>
          <t>MISS</t>
        </is>
      </c>
      <c r="S39" s="8" t="n">
        <v>-1</v>
      </c>
    </row>
    <row r="40">
      <c r="B40" s="6" t="inlineStr">
        <is>
          <t>PCTY</t>
        </is>
      </c>
      <c r="C40" s="7" t="n">
        <v>0.0216</v>
      </c>
      <c r="D40" s="7" t="n">
        <v>0.0197</v>
      </c>
      <c r="E40" s="7" t="n">
        <v>0.0216</v>
      </c>
      <c r="F40" s="6" t="inlineStr">
        <is>
          <t>No</t>
        </is>
      </c>
      <c r="H40" s="6" t="inlineStr">
        <is>
          <t>PCTY</t>
        </is>
      </c>
      <c r="I40" s="6" t="inlineStr">
        <is>
          <t>GUIDE ABOVE</t>
        </is>
      </c>
      <c r="J40" s="8" t="n">
        <v>0.07969999999999999</v>
      </c>
      <c r="K40" s="6" t="inlineStr">
        <is>
          <t>STABLE</t>
        </is>
      </c>
      <c r="M40" s="6" t="inlineStr">
        <is>
          <t>PCTY</t>
        </is>
      </c>
      <c r="N40" s="6" t="inlineStr">
        <is>
          <t>BEAT</t>
        </is>
      </c>
      <c r="O40" s="8" t="n">
        <v>0.0216</v>
      </c>
      <c r="P40" s="6" t="inlineStr">
        <is>
          <t>BEAT</t>
        </is>
      </c>
      <c r="Q40" s="8" t="n">
        <v>0.0746</v>
      </c>
      <c r="R40" s="6" t="inlineStr">
        <is>
          <t>MISS</t>
        </is>
      </c>
      <c r="S40" s="8" t="n">
        <v>-1</v>
      </c>
    </row>
    <row r="41">
      <c r="B41" s="6" t="inlineStr">
        <is>
          <t>PAYC</t>
        </is>
      </c>
      <c r="C41" s="7" t="n">
        <v>0.0095</v>
      </c>
      <c r="D41" s="7" t="n">
        <v>0.0017</v>
      </c>
      <c r="E41" s="7" t="n">
        <v>0.0095</v>
      </c>
      <c r="F41" s="6" t="inlineStr">
        <is>
          <t>No</t>
        </is>
      </c>
      <c r="H41" s="6" t="inlineStr">
        <is>
          <t>PAYC</t>
        </is>
      </c>
      <c r="I41" s="6" t="inlineStr">
        <is>
          <t>N/A</t>
        </is>
      </c>
      <c r="J41" s="6" t="inlineStr">
        <is>
          <t>N/A</t>
        </is>
      </c>
      <c r="K41" s="6" t="inlineStr">
        <is>
          <t>ACCELERATING</t>
        </is>
      </c>
      <c r="M41" s="6" t="inlineStr">
        <is>
          <t>PAYC</t>
        </is>
      </c>
      <c r="N41" s="6" t="inlineStr">
        <is>
          <t>BEAT</t>
        </is>
      </c>
      <c r="O41" s="8" t="n">
        <v>0.0095</v>
      </c>
      <c r="P41" s="6" t="inlineStr">
        <is>
          <t>BEAT</t>
        </is>
      </c>
      <c r="Q41" s="8" t="n">
        <v>0.3171</v>
      </c>
      <c r="R41" s="6" t="inlineStr">
        <is>
          <t>MISS</t>
        </is>
      </c>
      <c r="S41" s="8" t="n">
        <v>-1</v>
      </c>
    </row>
    <row r="42">
      <c r="B42" s="6" t="inlineStr">
        <is>
          <t>GWRE</t>
        </is>
      </c>
      <c r="C42" s="7" t="n">
        <v>0.0447</v>
      </c>
      <c r="D42" s="7" t="n">
        <v>0.03700000000000001</v>
      </c>
      <c r="E42" s="7" t="n">
        <v>0.0447</v>
      </c>
      <c r="F42" s="6" t="inlineStr">
        <is>
          <t>No</t>
        </is>
      </c>
      <c r="H42" s="6" t="inlineStr">
        <is>
          <t>GWRE</t>
        </is>
      </c>
      <c r="I42" s="6" t="inlineStr">
        <is>
          <t>GUIDE ABOVE</t>
        </is>
      </c>
      <c r="J42" s="8" t="n">
        <v>0.0398</v>
      </c>
      <c r="K42" s="6" t="inlineStr">
        <is>
          <t>STABLE</t>
        </is>
      </c>
      <c r="M42" s="6" t="inlineStr">
        <is>
          <t>GWRE</t>
        </is>
      </c>
      <c r="N42" s="6" t="inlineStr">
        <is>
          <t>BEAT</t>
        </is>
      </c>
      <c r="O42" s="8" t="n">
        <v>0.0447</v>
      </c>
      <c r="P42" s="6" t="inlineStr">
        <is>
          <t>BEAT</t>
        </is>
      </c>
      <c r="Q42" s="8" t="n">
        <v>0.0489</v>
      </c>
      <c r="R42" s="6" t="inlineStr">
        <is>
          <t>MISS</t>
        </is>
      </c>
      <c r="S42" s="8" t="n">
        <v>-0.75</v>
      </c>
    </row>
    <row r="43">
      <c r="B43" s="6" t="inlineStr">
        <is>
          <t>BSY</t>
        </is>
      </c>
      <c r="C43" s="7" t="n">
        <v>0.0135</v>
      </c>
      <c r="D43" s="7" t="n">
        <v>0.0058</v>
      </c>
      <c r="E43" s="7" t="n">
        <v>0.0135</v>
      </c>
      <c r="F43" s="6" t="inlineStr">
        <is>
          <t>No</t>
        </is>
      </c>
      <c r="H43" s="6" t="inlineStr">
        <is>
          <t>BSY</t>
        </is>
      </c>
      <c r="I43" s="6" t="inlineStr">
        <is>
          <t>N/A</t>
        </is>
      </c>
      <c r="J43" s="6" t="inlineStr">
        <is>
          <t>N/A</t>
        </is>
      </c>
      <c r="K43" s="6" t="inlineStr">
        <is>
          <t>ACCELERATING</t>
        </is>
      </c>
      <c r="M43" s="6" t="inlineStr">
        <is>
          <t>BSY</t>
        </is>
      </c>
      <c r="N43" s="6" t="inlineStr">
        <is>
          <t>BEAT</t>
        </is>
      </c>
      <c r="O43" s="8" t="n">
        <v>0.0135</v>
      </c>
      <c r="P43" s="6" t="inlineStr">
        <is>
          <t>BEAT</t>
        </is>
      </c>
      <c r="Q43" s="8" t="n">
        <v>0.3376</v>
      </c>
      <c r="R43" s="6" t="inlineStr">
        <is>
          <t>MISS</t>
        </is>
      </c>
      <c r="S43" s="8" t="n">
        <v>-1</v>
      </c>
    </row>
    <row r="44">
      <c r="B44" s="6" t="inlineStr">
        <is>
          <t>CWAN</t>
        </is>
      </c>
      <c r="C44" s="7" t="n">
        <v>-0.0382</v>
      </c>
      <c r="D44" s="7" t="n">
        <v>-0.0331</v>
      </c>
      <c r="E44" s="7" t="n">
        <v>-0.0331</v>
      </c>
      <c r="F44" s="6" t="inlineStr">
        <is>
          <t>No</t>
        </is>
      </c>
      <c r="H44" s="6" t="inlineStr">
        <is>
          <t>CWAN</t>
        </is>
      </c>
      <c r="I44" s="6" t="inlineStr">
        <is>
          <t>N/A</t>
        </is>
      </c>
      <c r="J44" s="6" t="inlineStr">
        <is>
          <t>N/A</t>
        </is>
      </c>
      <c r="K44" s="6" t="inlineStr">
        <is>
          <t>DECELERATING</t>
        </is>
      </c>
      <c r="M44" s="6" t="inlineStr">
        <is>
          <t>CWAN</t>
        </is>
      </c>
      <c r="N44" s="6" t="inlineStr">
        <is>
          <t>MISS</t>
        </is>
      </c>
      <c r="O44" s="8" t="n">
        <v>-0.0331</v>
      </c>
      <c r="P44" s="6" t="inlineStr">
        <is>
          <t>BEAT</t>
        </is>
      </c>
      <c r="Q44" s="8" t="n">
        <v>0.4834000000000001</v>
      </c>
      <c r="R44" s="6" t="inlineStr">
        <is>
          <t>MISS</t>
        </is>
      </c>
      <c r="S44" s="8" t="n">
        <v>-1</v>
      </c>
    </row>
    <row r="45">
      <c r="B45" s="6" t="inlineStr">
        <is>
          <t>NCNO</t>
        </is>
      </c>
      <c r="C45" s="7" t="n">
        <v>0.0154</v>
      </c>
      <c r="D45" s="7" t="n">
        <v>0.0073</v>
      </c>
      <c r="E45" s="7" t="n">
        <v>0.0154</v>
      </c>
      <c r="F45" s="6" t="inlineStr">
        <is>
          <t>No</t>
        </is>
      </c>
      <c r="H45" s="6" t="inlineStr">
        <is>
          <t>NCNO</t>
        </is>
      </c>
      <c r="I45" s="6" t="inlineStr">
        <is>
          <t>N/A</t>
        </is>
      </c>
      <c r="J45" s="6" t="inlineStr">
        <is>
          <t>N/A</t>
        </is>
      </c>
      <c r="K45" s="6" t="inlineStr">
        <is>
          <t>DECELERATING</t>
        </is>
      </c>
      <c r="M45" s="6" t="inlineStr">
        <is>
          <t>NCNO</t>
        </is>
      </c>
      <c r="N45" s="6" t="inlineStr">
        <is>
          <t>BEAT</t>
        </is>
      </c>
      <c r="O45" s="8" t="n">
        <v>0.0154</v>
      </c>
      <c r="P45" s="6" t="inlineStr">
        <is>
          <t>BEAT</t>
        </is>
      </c>
      <c r="Q45" s="8" t="n">
        <v>0.3572</v>
      </c>
      <c r="R45" s="6" t="inlineStr">
        <is>
          <t>MISS</t>
        </is>
      </c>
      <c r="S45" s="8" t="n">
        <v>-0.7556</v>
      </c>
    </row>
    <row r="46">
      <c r="B46" s="6" t="inlineStr">
        <is>
          <t>BRZE</t>
        </is>
      </c>
      <c r="C46" s="7" t="n">
        <v>0.017</v>
      </c>
      <c r="D46" s="7" t="n">
        <v>0.0227</v>
      </c>
      <c r="E46" s="7" t="n">
        <v>0.0227</v>
      </c>
      <c r="F46" s="6" t="inlineStr">
        <is>
          <t>No</t>
        </is>
      </c>
      <c r="H46" s="6" t="inlineStr">
        <is>
          <t>BRZE</t>
        </is>
      </c>
      <c r="I46" s="6" t="inlineStr">
        <is>
          <t>N/A</t>
        </is>
      </c>
      <c r="J46" s="6" t="inlineStr">
        <is>
          <t>N/A</t>
        </is>
      </c>
      <c r="K46" s="6" t="inlineStr">
        <is>
          <t>STABLE</t>
        </is>
      </c>
      <c r="M46" s="6" t="inlineStr">
        <is>
          <t>BRZE</t>
        </is>
      </c>
      <c r="N46" s="6" t="inlineStr">
        <is>
          <t>BEAT</t>
        </is>
      </c>
      <c r="O46" s="8" t="n">
        <v>0.0227</v>
      </c>
      <c r="P46" s="6" t="inlineStr">
        <is>
          <t>BEAT</t>
        </is>
      </c>
      <c r="Q46" s="8" t="n">
        <v>0.3842</v>
      </c>
      <c r="R46" s="6" t="inlineStr">
        <is>
          <t>MISS</t>
        </is>
      </c>
      <c r="S46" s="8" t="n">
        <v>-0.7469</v>
      </c>
    </row>
    <row r="47">
      <c r="B47" s="6" t="inlineStr">
        <is>
          <t>KVYO</t>
        </is>
      </c>
      <c r="C47" s="7" t="n">
        <v>0.045</v>
      </c>
      <c r="D47" s="7" t="n">
        <v>0.0406</v>
      </c>
      <c r="E47" s="7" t="n">
        <v>0.045</v>
      </c>
      <c r="F47" s="6" t="inlineStr">
        <is>
          <t>No</t>
        </is>
      </c>
      <c r="H47" s="6" t="inlineStr">
        <is>
          <t>KVYO</t>
        </is>
      </c>
      <c r="I47" s="6" t="inlineStr">
        <is>
          <t>N/A</t>
        </is>
      </c>
      <c r="J47" s="6" t="inlineStr">
        <is>
          <t>N/A</t>
        </is>
      </c>
      <c r="K47" s="6" t="inlineStr">
        <is>
          <t>ACCELERATING</t>
        </is>
      </c>
      <c r="M47" s="6" t="inlineStr">
        <is>
          <t>KVYO</t>
        </is>
      </c>
      <c r="N47" s="6" t="inlineStr">
        <is>
          <t>BEAT</t>
        </is>
      </c>
      <c r="O47" s="8" t="n">
        <v>0.045</v>
      </c>
      <c r="P47" s="6" t="inlineStr">
        <is>
          <t>BEAT</t>
        </is>
      </c>
      <c r="Q47" s="8" t="n">
        <v>0.3745000000000001</v>
      </c>
      <c r="R47" s="6" t="inlineStr">
        <is>
          <t>MISS</t>
        </is>
      </c>
      <c r="S47" s="8" t="n">
        <v>-1</v>
      </c>
    </row>
    <row r="48">
      <c r="B48" s="6" t="inlineStr">
        <is>
          <t>PCOR</t>
        </is>
      </c>
      <c r="C48" s="7" t="n">
        <v>0.0174</v>
      </c>
      <c r="D48" s="7" t="n">
        <v>0.006</v>
      </c>
      <c r="E48" s="7" t="n">
        <v>0.0174</v>
      </c>
      <c r="F48" s="6" t="inlineStr">
        <is>
          <t>No</t>
        </is>
      </c>
      <c r="H48" s="6" t="inlineStr">
        <is>
          <t>PCOR</t>
        </is>
      </c>
      <c r="I48" s="6" t="inlineStr">
        <is>
          <t>N/A</t>
        </is>
      </c>
      <c r="J48" s="6" t="inlineStr">
        <is>
          <t>N/A</t>
        </is>
      </c>
      <c r="K48" s="6" t="inlineStr">
        <is>
          <t>STABLE</t>
        </is>
      </c>
      <c r="M48" s="6" t="inlineStr">
        <is>
          <t>PCOR</t>
        </is>
      </c>
      <c r="N48" s="6" t="inlineStr">
        <is>
          <t>BEAT</t>
        </is>
      </c>
      <c r="O48" s="8" t="n">
        <v>0.0174</v>
      </c>
      <c r="P48" s="6" t="inlineStr">
        <is>
          <t>BEAT</t>
        </is>
      </c>
      <c r="Q48" s="8" t="n">
        <v>0.3426</v>
      </c>
      <c r="R48" s="6" t="inlineStr">
        <is>
          <t>MISS</t>
        </is>
      </c>
      <c r="S48" s="8" t="n">
        <v>-1</v>
      </c>
    </row>
    <row r="49">
      <c r="B49" s="6" t="inlineStr">
        <is>
          <t>SPSC</t>
        </is>
      </c>
      <c r="C49" s="7" t="n">
        <v>-0.0004</v>
      </c>
      <c r="D49" s="7" t="n">
        <v>0.0008</v>
      </c>
      <c r="E49" s="7" t="n">
        <v>-0.0004</v>
      </c>
      <c r="F49" s="6" t="inlineStr">
        <is>
          <t>No</t>
        </is>
      </c>
      <c r="H49" s="6" t="inlineStr">
        <is>
          <t>SPSC</t>
        </is>
      </c>
      <c r="I49" s="6" t="inlineStr">
        <is>
          <t>GUIDE IN-LINE</t>
        </is>
      </c>
      <c r="J49" s="8" t="n">
        <v>-0.0089</v>
      </c>
      <c r="K49" s="6" t="inlineStr">
        <is>
          <t>STABLE</t>
        </is>
      </c>
      <c r="M49" s="6" t="inlineStr">
        <is>
          <t>SPSC</t>
        </is>
      </c>
      <c r="N49" s="6" t="inlineStr">
        <is>
          <t>MISS</t>
        </is>
      </c>
      <c r="O49" s="8" t="n">
        <v>-0.0004</v>
      </c>
      <c r="P49" s="6" t="inlineStr">
        <is>
          <t>MISS</t>
        </is>
      </c>
      <c r="Q49" s="8" t="n">
        <v>-0.0061</v>
      </c>
      <c r="R49" s="6" t="inlineStr">
        <is>
          <t>MISS</t>
        </is>
      </c>
      <c r="S49" s="8" t="n">
        <v>-1</v>
      </c>
    </row>
    <row r="50">
      <c r="B50" s="6" t="inlineStr">
        <is>
          <t>MANH</t>
        </is>
      </c>
      <c r="C50" s="7" t="n">
        <v>0.0234</v>
      </c>
      <c r="D50" s="7" t="n">
        <v>0.0252</v>
      </c>
      <c r="E50" s="7" t="n">
        <v>0.0234</v>
      </c>
      <c r="F50" s="6" t="inlineStr">
        <is>
          <t>No</t>
        </is>
      </c>
      <c r="H50" s="6" t="inlineStr">
        <is>
          <t>MANH</t>
        </is>
      </c>
      <c r="I50" s="6" t="inlineStr">
        <is>
          <t>GUIDE BELOW</t>
        </is>
      </c>
      <c r="J50" s="8" t="n">
        <v>-0.0257</v>
      </c>
      <c r="K50" s="6" t="inlineStr">
        <is>
          <t>DECELERATING</t>
        </is>
      </c>
      <c r="M50" s="6" t="inlineStr">
        <is>
          <t>MANH</t>
        </is>
      </c>
      <c r="N50" s="6" t="inlineStr">
        <is>
          <t>BEAT</t>
        </is>
      </c>
      <c r="O50" s="8" t="n">
        <v>0.0234</v>
      </c>
      <c r="P50" s="6" t="inlineStr">
        <is>
          <t>MISS</t>
        </is>
      </c>
      <c r="Q50" s="8" t="n">
        <v>-0.0002</v>
      </c>
      <c r="R50" s="6" t="inlineStr">
        <is>
          <t>MISS</t>
        </is>
      </c>
      <c r="S50" s="8" t="n">
        <v>-1</v>
      </c>
    </row>
    <row r="51">
      <c r="B51" s="6" t="inlineStr">
        <is>
          <t>AZPN</t>
        </is>
      </c>
      <c r="C51" s="7" t="n">
        <v>-0.008500000000000001</v>
      </c>
      <c r="D51" s="7" t="n">
        <v>0.008699999999999999</v>
      </c>
      <c r="E51" s="7" t="n">
        <v>0.008699999999999999</v>
      </c>
      <c r="F51" s="6" t="inlineStr">
        <is>
          <t>YES</t>
        </is>
      </c>
      <c r="H51" s="6" t="inlineStr">
        <is>
          <t>AZPN</t>
        </is>
      </c>
      <c r="I51" s="6" t="inlineStr">
        <is>
          <t>GUIDE BELOW</t>
        </is>
      </c>
      <c r="J51" s="8" t="n">
        <v>-0.1985</v>
      </c>
      <c r="K51" s="6" t="inlineStr">
        <is>
          <t>STABLE</t>
        </is>
      </c>
      <c r="M51" s="6" t="inlineStr">
        <is>
          <t>AZPN</t>
        </is>
      </c>
      <c r="N51" s="6" t="inlineStr">
        <is>
          <t>BEAT</t>
        </is>
      </c>
      <c r="O51" s="8" t="n">
        <v>0.008699999999999999</v>
      </c>
      <c r="P51" s="6" t="inlineStr">
        <is>
          <t>MISS</t>
        </is>
      </c>
      <c r="Q51" s="8" t="n">
        <v>-1</v>
      </c>
      <c r="R51" s="6" t="inlineStr">
        <is>
          <t>MISS</t>
        </is>
      </c>
      <c r="S51" s="8" t="n">
        <v>-1</v>
      </c>
    </row>
    <row r="52">
      <c r="B52" s="6" t="inlineStr">
        <is>
          <t>APPN</t>
        </is>
      </c>
      <c r="C52" s="7" t="n">
        <v>0.0211</v>
      </c>
      <c r="D52" s="7" t="n">
        <v>0.005600000000000001</v>
      </c>
      <c r="E52" s="7" t="n">
        <v>0.005600000000000001</v>
      </c>
      <c r="F52" s="6" t="inlineStr">
        <is>
          <t>YES</t>
        </is>
      </c>
      <c r="H52" s="6" t="inlineStr">
        <is>
          <t>APPN</t>
        </is>
      </c>
      <c r="I52" s="6" t="inlineStr">
        <is>
          <t>GUIDE IN-LINE</t>
        </is>
      </c>
      <c r="J52" s="8" t="n">
        <v>-0.0105</v>
      </c>
      <c r="K52" s="6" t="inlineStr">
        <is>
          <t>STABLE</t>
        </is>
      </c>
      <c r="M52" s="6" t="inlineStr">
        <is>
          <t>APPN</t>
        </is>
      </c>
      <c r="N52" s="6" t="inlineStr">
        <is>
          <t>BEAT</t>
        </is>
      </c>
      <c r="O52" s="8" t="n">
        <v>0.005600000000000001</v>
      </c>
      <c r="P52" s="6" t="inlineStr">
        <is>
          <t>MISS</t>
        </is>
      </c>
      <c r="Q52" s="8" t="n">
        <v>-0.0156</v>
      </c>
      <c r="R52" s="6" t="inlineStr">
        <is>
          <t>MISS</t>
        </is>
      </c>
      <c r="S52" s="8" t="n">
        <v>-1</v>
      </c>
    </row>
    <row r="53">
      <c r="B53" s="6" t="inlineStr">
        <is>
          <t>DOCN</t>
        </is>
      </c>
      <c r="C53" s="7" t="n">
        <v>-0.0197</v>
      </c>
      <c r="D53" s="7" t="n">
        <v>-0.0086</v>
      </c>
      <c r="E53" s="7" t="n">
        <v>-0.0086</v>
      </c>
      <c r="F53" s="6" t="inlineStr">
        <is>
          <t>No</t>
        </is>
      </c>
      <c r="H53" s="6" t="inlineStr">
        <is>
          <t>DOCN</t>
        </is>
      </c>
      <c r="I53" s="6" t="inlineStr">
        <is>
          <t>N/A</t>
        </is>
      </c>
      <c r="J53" s="6" t="inlineStr">
        <is>
          <t>N/A</t>
        </is>
      </c>
      <c r="K53" s="6" t="inlineStr">
        <is>
          <t>ACCELERATING</t>
        </is>
      </c>
      <c r="M53" s="6" t="inlineStr">
        <is>
          <t>DOCN</t>
        </is>
      </c>
      <c r="N53" s="6" t="inlineStr">
        <is>
          <t>MISS</t>
        </is>
      </c>
      <c r="O53" s="8" t="n">
        <v>-0.0086</v>
      </c>
      <c r="P53" s="6" t="inlineStr">
        <is>
          <t>BEAT</t>
        </is>
      </c>
      <c r="Q53" s="8" t="n">
        <v>0.2618</v>
      </c>
      <c r="R53" s="6" t="inlineStr">
        <is>
          <t>MISS</t>
        </is>
      </c>
      <c r="S53" s="8" t="n">
        <v>-1</v>
      </c>
    </row>
  </sheetData>
  <conditionalFormatting sqref="I6:I53">
    <cfRule type="cellIs" priority="1" operator="equal" dxfId="0">
      <formula>"GUIDE ABOVE"</formula>
    </cfRule>
    <cfRule type="cellIs" priority="2" operator="equal" dxfId="1">
      <formula>"GUIDE BELOW"</formula>
    </cfRule>
    <cfRule type="cellIs" priority="3" operator="equal" dxfId="2">
      <formula>"GUIDE IN-LINE"</formula>
    </cfRule>
  </conditionalFormatting>
  <conditionalFormatting sqref="N6:N53">
    <cfRule type="cellIs" priority="4" operator="equal" dxfId="0">
      <formula>"BEAT"</formula>
    </cfRule>
    <cfRule type="cellIs" priority="5" operator="equal" dxfId="1">
      <formula>"MISS"</formula>
    </cfRule>
  </conditionalFormatting>
  <conditionalFormatting sqref="P6:P53">
    <cfRule type="cellIs" priority="6" operator="equal" dxfId="0">
      <formula>"BEAT"</formula>
    </cfRule>
    <cfRule type="cellIs" priority="7" operator="equal" dxfId="1">
      <formula>"MISS"</formula>
    </cfRule>
  </conditionalFormatting>
  <conditionalFormatting sqref="R6:R53">
    <cfRule type="cellIs" priority="8" operator="equal" dxfId="0">
      <formula>"BEAT"</formula>
    </cfRule>
    <cfRule type="cellIs" priority="9" operator="equal" dxfId="1">
      <formula>"MISS"</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SNOW: KIN Base Case Operating Model</t>
        </is>
      </c>
    </row>
    <row r="2">
      <c r="B2" s="2" t="inlineStr">
        <is>
          <t>USD in Millions Unless Stated Otherwise</t>
        </is>
      </c>
    </row>
    <row r="3">
      <c r="B3" s="6" t="inlineStr">
        <is>
          <t>Beat Cadence (%)</t>
        </is>
      </c>
      <c r="C3" s="7" t="n">
        <v>0.0352</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774.699</v>
      </c>
      <c r="E9" s="16" t="n">
        <v>828.7089999999999</v>
      </c>
      <c r="F9" s="16" t="n">
        <v>868.823</v>
      </c>
      <c r="G9" s="16" t="n">
        <v>942.0940000000001</v>
      </c>
      <c r="H9" s="17">
        <f>SUM(D9:G9)</f>
        <v/>
      </c>
      <c r="I9" s="15" t="n">
        <v>986.77</v>
      </c>
      <c r="J9" s="16" t="n">
        <v>1042.074</v>
      </c>
      <c r="K9" s="16" t="n">
        <v>1144.969</v>
      </c>
      <c r="L9" s="16" t="n">
        <v>1212.909</v>
      </c>
      <c r="M9" s="17">
        <f>SUM(I9:L9)</f>
        <v/>
      </c>
      <c r="N9" s="15" t="n">
        <v>1283.994</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86.490717</v>
      </c>
      <c r="P13" s="24" t="n">
        <v>105.98185</v>
      </c>
      <c r="Q13" s="24" t="n">
        <v>67.94</v>
      </c>
      <c r="R13" s="13" t="n"/>
      <c r="S13" s="25" t="n">
        <v>71.08499999999999</v>
      </c>
    </row>
    <row r="14">
      <c r="D14" s="12" t="n"/>
      <c r="H14" s="13" t="n"/>
      <c r="I14" s="12" t="n"/>
      <c r="M14" s="13" t="n"/>
      <c r="N14" s="12" t="n"/>
      <c r="R14" s="13" t="n"/>
      <c r="S14" s="12" t="n"/>
    </row>
    <row r="15">
      <c r="B15" s="14" t="inlineStr">
        <is>
          <t>Consensus Total Revenue</t>
        </is>
      </c>
      <c r="D15" s="12" t="n"/>
      <c r="H15" s="13" t="n"/>
      <c r="I15" s="12" t="n"/>
      <c r="M15" s="13" t="n"/>
      <c r="N15" s="12" t="n"/>
      <c r="O15" s="16" t="n">
        <v>1323.884</v>
      </c>
      <c r="Q15" s="16" t="n">
        <v>1531.387993</v>
      </c>
      <c r="R15" s="13" t="n"/>
      <c r="S15" s="15" t="n">
        <v>1620.305067</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774.699</v>
      </c>
      <c r="E32" s="16" t="n">
        <v>828.7089999999999</v>
      </c>
      <c r="F32" s="16" t="n">
        <v>868.823</v>
      </c>
      <c r="G32" s="16" t="n">
        <v>942.0940000000001</v>
      </c>
      <c r="H32" s="17">
        <f>SUM(D32:G32)</f>
        <v/>
      </c>
      <c r="I32" s="15" t="n">
        <v>986.77</v>
      </c>
      <c r="J32" s="16" t="n">
        <v>1042.074</v>
      </c>
      <c r="K32" s="16" t="n">
        <v>1144.969</v>
      </c>
      <c r="L32" s="16" t="n">
        <v>1212.909</v>
      </c>
      <c r="M32" s="17">
        <f>SUM(I32:L32)</f>
        <v/>
      </c>
      <c r="N32" s="15" t="n">
        <v>1283.994</v>
      </c>
      <c r="R32" s="13" t="n"/>
      <c r="S32" s="12" t="n"/>
    </row>
    <row r="33">
      <c r="B33" s="14" t="inlineStr">
        <is>
          <t>Consensus Revenue</t>
        </is>
      </c>
      <c r="D33" s="15" t="n">
        <v>760.4318050000001</v>
      </c>
      <c r="E33" s="16" t="n">
        <v>788.1030019999999</v>
      </c>
      <c r="F33" s="16" t="n">
        <v>853.111781</v>
      </c>
      <c r="G33" s="16" t="n">
        <v>899.3069850000001</v>
      </c>
      <c r="H33" s="17">
        <f>SUM(D33:G33)</f>
        <v/>
      </c>
      <c r="I33" s="15" t="n">
        <v>957.789207</v>
      </c>
      <c r="J33" s="16" t="n">
        <v>1006.299443</v>
      </c>
      <c r="K33" s="16" t="n">
        <v>1088.074125</v>
      </c>
      <c r="L33" s="16" t="n">
        <v>1184.340631</v>
      </c>
      <c r="M33" s="17">
        <f>SUM(I33:L33)</f>
        <v/>
      </c>
      <c r="N33" s="15" t="n">
        <v>1256.722</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0.0334</v>
      </c>
      <c r="D37" s="12" t="n"/>
      <c r="H37" s="13" t="n"/>
      <c r="I37" s="12" t="n"/>
      <c r="M37" s="13" t="n"/>
      <c r="N37" s="12" t="n"/>
      <c r="R37" s="13" t="n"/>
      <c r="S37" s="12" t="n"/>
    </row>
    <row r="38">
      <c r="B38" s="2" t="inlineStr">
        <is>
          <t xml:space="preserve">   Trailing 8Q Avg Beat</t>
        </is>
      </c>
      <c r="C38" s="29" t="n">
        <v>0.0352</v>
      </c>
      <c r="D38" s="12" t="n"/>
      <c r="H38" s="13" t="n"/>
      <c r="I38" s="12" t="n"/>
      <c r="M38" s="13" t="n"/>
      <c r="N38" s="12" t="n"/>
      <c r="R38" s="13" t="n"/>
      <c r="S38" s="12" t="n"/>
    </row>
    <row r="39">
      <c r="B39" s="2" t="inlineStr">
        <is>
          <t xml:space="preserve">   Selected Beat Cadence</t>
        </is>
      </c>
      <c r="C39" s="30" t="n">
        <v>0.0352</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DDOG: KIN Base Case Operating Model</t>
        </is>
      </c>
    </row>
    <row r="2">
      <c r="B2" s="2" t="inlineStr">
        <is>
          <t>USD in Millions Unless Stated Otherwise</t>
        </is>
      </c>
    </row>
    <row r="3">
      <c r="B3" s="6" t="inlineStr">
        <is>
          <t>Beat Cadence (%)</t>
        </is>
      </c>
      <c r="C3" s="7" t="n">
        <v>0.0349</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611.253</v>
      </c>
      <c r="E9" s="16" t="n">
        <v>645.279</v>
      </c>
      <c r="F9" s="16" t="n">
        <v>690.016</v>
      </c>
      <c r="G9" s="16" t="n">
        <v>737.727</v>
      </c>
      <c r="H9" s="17">
        <f>SUM(D9:G9)</f>
        <v/>
      </c>
      <c r="I9" s="15" t="n">
        <v>761.553</v>
      </c>
      <c r="J9" s="16" t="n">
        <v>826.76</v>
      </c>
      <c r="K9" s="16" t="n">
        <v>885.651</v>
      </c>
      <c r="L9" s="16" t="n">
        <v>953.194</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40.367023</v>
      </c>
      <c r="O13" s="24" t="n">
        <v>67.16321000000001</v>
      </c>
      <c r="P13" s="24" t="n">
        <v>58.891</v>
      </c>
      <c r="Q13" s="24" t="n">
        <v>67.54300000000001</v>
      </c>
      <c r="R13" s="13" t="n"/>
    </row>
    <row r="14">
      <c r="D14" s="12" t="n"/>
      <c r="H14" s="13" t="n"/>
      <c r="I14" s="12" t="n"/>
      <c r="M14" s="13" t="n"/>
      <c r="N14" s="12" t="n"/>
      <c r="R14" s="13" t="n"/>
    </row>
    <row r="15">
      <c r="B15" s="14" t="inlineStr">
        <is>
          <t>Consensus Total Revenue</t>
        </is>
      </c>
      <c r="D15" s="12" t="n"/>
      <c r="H15" s="13" t="n"/>
      <c r="I15" s="12" t="n"/>
      <c r="M15" s="13" t="n"/>
      <c r="N15" s="15" t="n">
        <v>960.0551</v>
      </c>
      <c r="P15" s="16" t="n">
        <v>1047.131542</v>
      </c>
      <c r="Q15" s="16" t="n">
        <v>1112.342692</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611.253</v>
      </c>
      <c r="E32" s="16" t="n">
        <v>645.279</v>
      </c>
      <c r="F32" s="16" t="n">
        <v>690.016</v>
      </c>
      <c r="G32" s="16" t="n">
        <v>737.727</v>
      </c>
      <c r="H32" s="17">
        <f>SUM(D32:G32)</f>
        <v/>
      </c>
      <c r="I32" s="15" t="n">
        <v>761.553</v>
      </c>
      <c r="J32" s="16" t="n">
        <v>826.76</v>
      </c>
      <c r="K32" s="16" t="n">
        <v>885.651</v>
      </c>
      <c r="L32" s="16" t="n">
        <v>953.194</v>
      </c>
      <c r="M32" s="17">
        <f>SUM(I32:L32)</f>
        <v/>
      </c>
      <c r="N32" s="12" t="n"/>
      <c r="R32" s="13" t="n"/>
    </row>
    <row r="33">
      <c r="B33" s="14" t="inlineStr">
        <is>
          <t>Consensus Revenue</t>
        </is>
      </c>
      <c r="D33" s="15" t="n">
        <v>592.031855</v>
      </c>
      <c r="E33" s="16" t="n">
        <v>626.8917290000001</v>
      </c>
      <c r="F33" s="16" t="n">
        <v>665.041144</v>
      </c>
      <c r="G33" s="16" t="n">
        <v>715.178777</v>
      </c>
      <c r="H33" s="17">
        <f>SUM(D33:G33)</f>
        <v/>
      </c>
      <c r="I33" s="15" t="n">
        <v>741.413084</v>
      </c>
      <c r="J33" s="16" t="n">
        <v>791.123833</v>
      </c>
      <c r="K33" s="16" t="n">
        <v>852.761661</v>
      </c>
      <c r="L33" s="16" t="n">
        <v>918.7008</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0.0371</v>
      </c>
      <c r="D37" s="12" t="n"/>
      <c r="H37" s="13" t="n"/>
      <c r="I37" s="12" t="n"/>
      <c r="M37" s="13" t="n"/>
      <c r="N37" s="12" t="n"/>
      <c r="R37" s="13" t="n"/>
    </row>
    <row r="38">
      <c r="B38" s="2" t="inlineStr">
        <is>
          <t xml:space="preserve">   Trailing 8Q Avg Beat</t>
        </is>
      </c>
      <c r="C38" s="29" t="n">
        <v>0.0349</v>
      </c>
      <c r="D38" s="12" t="n"/>
      <c r="H38" s="13" t="n"/>
      <c r="I38" s="12" t="n"/>
      <c r="M38" s="13" t="n"/>
      <c r="N38" s="12" t="n"/>
      <c r="R38" s="13" t="n"/>
    </row>
    <row r="39">
      <c r="B39" s="2" t="inlineStr">
        <is>
          <t xml:space="preserve">   Selected Beat Cadence</t>
        </is>
      </c>
      <c r="C39" s="30" t="n">
        <v>0.0349</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MDB: KIN Base Case Operating Model</t>
        </is>
      </c>
    </row>
    <row r="2">
      <c r="B2" s="2" t="inlineStr">
        <is>
          <t>USD in Millions Unless Stated Otherwise</t>
        </is>
      </c>
    </row>
    <row r="3">
      <c r="B3" s="6" t="inlineStr">
        <is>
          <t>Beat Cadence (%)</t>
        </is>
      </c>
      <c r="C3" s="7" t="n">
        <v>0.0505</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458.002</v>
      </c>
      <c r="E9" s="16" t="n">
        <v>450.561</v>
      </c>
      <c r="F9" s="16" t="n">
        <v>478.109</v>
      </c>
      <c r="G9" s="16" t="n">
        <v>529.375</v>
      </c>
      <c r="H9" s="17">
        <f>SUM(D9:G9)</f>
        <v/>
      </c>
      <c r="I9" s="15" t="n">
        <v>548.398</v>
      </c>
      <c r="J9" s="16" t="n">
        <v>549.014</v>
      </c>
      <c r="K9" s="16" t="n">
        <v>591.402</v>
      </c>
      <c r="L9" s="16" t="n">
        <v>628.309</v>
      </c>
      <c r="M9" s="17">
        <f>SUM(I9:L9)</f>
        <v/>
      </c>
      <c r="N9" s="15" t="n">
        <v>695.072</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2.418085</v>
      </c>
      <c r="P13" s="24" t="n">
        <v>42.388</v>
      </c>
      <c r="Q13" s="24" t="n">
        <v>36.907</v>
      </c>
      <c r="R13" s="13" t="n"/>
      <c r="S13" s="25" t="n">
        <v>33.61817</v>
      </c>
    </row>
    <row r="14">
      <c r="D14" s="12" t="n"/>
      <c r="H14" s="13" t="n"/>
      <c r="I14" s="12" t="n"/>
      <c r="M14" s="13" t="n"/>
      <c r="N14" s="12" t="n"/>
      <c r="R14" s="13" t="n"/>
      <c r="S14" s="12" t="n"/>
    </row>
    <row r="15">
      <c r="B15" s="14" t="inlineStr">
        <is>
          <t>Consensus Total Revenue</t>
        </is>
      </c>
      <c r="D15" s="12" t="n"/>
      <c r="H15" s="13" t="n"/>
      <c r="I15" s="12" t="n"/>
      <c r="M15" s="13" t="n"/>
      <c r="N15" s="12" t="n"/>
      <c r="O15" s="16" t="n">
        <v>663.9601</v>
      </c>
      <c r="Q15" s="16" t="n">
        <v>738.557712</v>
      </c>
      <c r="R15" s="13" t="n"/>
      <c r="S15" s="15" t="n">
        <v>796.660813</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458.002</v>
      </c>
      <c r="E32" s="16" t="n">
        <v>450.561</v>
      </c>
      <c r="F32" s="16" t="n">
        <v>478.109</v>
      </c>
      <c r="G32" s="16" t="n">
        <v>529.375</v>
      </c>
      <c r="H32" s="17">
        <f>SUM(D32:G32)</f>
        <v/>
      </c>
      <c r="I32" s="15" t="n">
        <v>548.398</v>
      </c>
      <c r="J32" s="16" t="n">
        <v>549.014</v>
      </c>
      <c r="K32" s="16" t="n">
        <v>591.402</v>
      </c>
      <c r="L32" s="16" t="n">
        <v>628.309</v>
      </c>
      <c r="M32" s="17">
        <f>SUM(I32:L32)</f>
        <v/>
      </c>
      <c r="N32" s="15" t="n">
        <v>695.072</v>
      </c>
      <c r="R32" s="13" t="n"/>
      <c r="S32" s="12" t="n"/>
    </row>
    <row r="33">
      <c r="B33" s="14" t="inlineStr">
        <is>
          <t>Consensus Revenue</t>
        </is>
      </c>
      <c r="D33" s="15" t="n">
        <v>437.188122</v>
      </c>
      <c r="E33" s="16" t="n">
        <v>441.441095</v>
      </c>
      <c r="F33" s="16" t="n">
        <v>465.028269</v>
      </c>
      <c r="G33" s="16" t="n">
        <v>497.241186</v>
      </c>
      <c r="H33" s="17">
        <f>SUM(D33:G33)</f>
        <v/>
      </c>
      <c r="I33" s="15" t="n">
        <v>520.645893</v>
      </c>
      <c r="J33" s="16" t="n">
        <v>528.120261</v>
      </c>
      <c r="K33" s="16" t="n">
        <v>554.058888</v>
      </c>
      <c r="L33" s="16" t="n">
        <v>593.933257</v>
      </c>
      <c r="M33" s="17">
        <f>SUM(I33:L33)</f>
        <v/>
      </c>
      <c r="N33" s="15" t="n">
        <v>670.0789</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0.0505</v>
      </c>
      <c r="D37" s="12" t="n"/>
      <c r="H37" s="13" t="n"/>
      <c r="I37" s="12" t="n"/>
      <c r="M37" s="13" t="n"/>
      <c r="N37" s="12" t="n"/>
      <c r="R37" s="13" t="n"/>
      <c r="S37" s="12" t="n"/>
    </row>
    <row r="38">
      <c r="B38" s="2" t="inlineStr">
        <is>
          <t xml:space="preserve">   Trailing 8Q Avg Beat</t>
        </is>
      </c>
      <c r="C38" s="29" t="n">
        <v>0.0461</v>
      </c>
      <c r="D38" s="12" t="n"/>
      <c r="H38" s="13" t="n"/>
      <c r="I38" s="12" t="n"/>
      <c r="M38" s="13" t="n"/>
      <c r="N38" s="12" t="n"/>
      <c r="R38" s="13" t="n"/>
      <c r="S38" s="12" t="n"/>
    </row>
    <row r="39">
      <c r="B39" s="2" t="inlineStr">
        <is>
          <t xml:space="preserve">   Selected Beat Cadence</t>
        </is>
      </c>
      <c r="C39" s="30" t="n">
        <v>0.0505</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TENB: KIN Base Case Operating Model</t>
        </is>
      </c>
    </row>
    <row r="2">
      <c r="B2" s="2" t="inlineStr">
        <is>
          <t>USD in Millions Unless Stated Otherwise</t>
        </is>
      </c>
    </row>
    <row r="3">
      <c r="B3" s="6" t="inlineStr">
        <is>
          <t>Beat Cadence (%)</t>
        </is>
      </c>
      <c r="C3" s="7" t="n">
        <v>0.0171</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215.961</v>
      </c>
      <c r="E9" s="16" t="n">
        <v>221.241</v>
      </c>
      <c r="F9" s="16" t="n">
        <v>227.088</v>
      </c>
      <c r="G9" s="16" t="n">
        <v>235.731</v>
      </c>
      <c r="H9" s="17">
        <f>SUM(D9:G9)</f>
        <v/>
      </c>
      <c r="I9" s="15" t="n">
        <v>239.137</v>
      </c>
      <c r="J9" s="16" t="n">
        <v>247.295</v>
      </c>
      <c r="K9" s="16" t="n">
        <v>252.44</v>
      </c>
      <c r="L9" s="16" t="n">
        <v>260.533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2.719433</v>
      </c>
      <c r="O13" s="24" t="n">
        <v>6.135694</v>
      </c>
      <c r="P13" s="24" t="n">
        <v>6.700556</v>
      </c>
      <c r="Q13" s="24" t="n">
        <v>8.883278000000001</v>
      </c>
      <c r="R13" s="13" t="n"/>
    </row>
    <row r="14">
      <c r="D14" s="12" t="n"/>
      <c r="H14" s="13" t="n"/>
      <c r="I14" s="12" t="n"/>
      <c r="M14" s="13" t="n"/>
      <c r="N14" s="12" t="n"/>
      <c r="R14" s="13" t="n"/>
    </row>
    <row r="15">
      <c r="B15" s="14" t="inlineStr">
        <is>
          <t>Consensus Total Revenue</t>
        </is>
      </c>
      <c r="D15" s="12" t="n"/>
      <c r="H15" s="13" t="n"/>
      <c r="I15" s="12" t="n"/>
      <c r="M15" s="13" t="n"/>
      <c r="N15" s="15" t="n">
        <v>258.8265</v>
      </c>
      <c r="P15" s="16" t="n">
        <v>269.71966</v>
      </c>
      <c r="Q15" s="16" t="n">
        <v>277.697987</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215.961</v>
      </c>
      <c r="E32" s="16" t="n">
        <v>221.241</v>
      </c>
      <c r="F32" s="16" t="n">
        <v>227.088</v>
      </c>
      <c r="G32" s="16" t="n">
        <v>235.731</v>
      </c>
      <c r="H32" s="17">
        <f>SUM(D32:G32)</f>
        <v/>
      </c>
      <c r="I32" s="15" t="n">
        <v>239.137</v>
      </c>
      <c r="J32" s="16" t="n">
        <v>247.295</v>
      </c>
      <c r="K32" s="16" t="n">
        <v>252.44</v>
      </c>
      <c r="L32" s="16" t="n">
        <v>260.533</v>
      </c>
      <c r="M32" s="17">
        <f>SUM(I32:L32)</f>
        <v/>
      </c>
      <c r="N32" s="12" t="n"/>
      <c r="R32" s="13" t="n"/>
    </row>
    <row r="33">
      <c r="B33" s="14" t="inlineStr">
        <is>
          <t>Consensus Revenue</t>
        </is>
      </c>
      <c r="D33" s="15" t="n">
        <v>213.554545</v>
      </c>
      <c r="E33" s="16" t="n">
        <v>218.44</v>
      </c>
      <c r="F33" s="16" t="n">
        <v>231.47</v>
      </c>
      <c r="G33" s="16" t="n">
        <v>232.02464</v>
      </c>
      <c r="H33" s="17">
        <f>SUM(D33:G33)</f>
        <v/>
      </c>
      <c r="I33" s="15" t="n">
        <v>234.02901</v>
      </c>
      <c r="J33" s="16" t="n">
        <v>245.12115</v>
      </c>
      <c r="K33" s="16" t="n">
        <v>251.79071</v>
      </c>
      <c r="L33" s="16" t="n">
        <v>251.7559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0.0171</v>
      </c>
      <c r="D37" s="12" t="n"/>
      <c r="H37" s="13" t="n"/>
      <c r="I37" s="12" t="n"/>
      <c r="M37" s="13" t="n"/>
      <c r="N37" s="12" t="n"/>
      <c r="R37" s="13" t="n"/>
    </row>
    <row r="38">
      <c r="B38" s="2" t="inlineStr">
        <is>
          <t xml:space="preserve">   Trailing 8Q Avg Beat</t>
        </is>
      </c>
      <c r="C38" s="29" t="n">
        <v>0.0112</v>
      </c>
      <c r="D38" s="12" t="n"/>
      <c r="H38" s="13" t="n"/>
      <c r="I38" s="12" t="n"/>
      <c r="M38" s="13" t="n"/>
      <c r="N38" s="12" t="n"/>
      <c r="R38" s="13" t="n"/>
    </row>
    <row r="39">
      <c r="B39" s="2" t="inlineStr">
        <is>
          <t xml:space="preserve">   Selected Beat Cadence</t>
        </is>
      </c>
      <c r="C39" s="30" t="n">
        <v>0.0171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QLYS: KIN Base Case Operating Model</t>
        </is>
      </c>
    </row>
    <row r="2">
      <c r="B2" s="2" t="inlineStr">
        <is>
          <t>USD in Millions Unless Stated Otherwise</t>
        </is>
      </c>
    </row>
    <row r="3">
      <c r="B3" s="6" t="inlineStr">
        <is>
          <t>Beat Cadence (%)</t>
        </is>
      </c>
      <c r="C3" s="7" t="n">
        <v>0.0067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145.805</v>
      </c>
      <c r="E9" s="16" t="n">
        <v>148.708</v>
      </c>
      <c r="F9" s="16" t="n">
        <v>153.867</v>
      </c>
      <c r="G9" s="16" t="n">
        <v>159.191</v>
      </c>
      <c r="H9" s="17">
        <f>SUM(D9:G9)</f>
        <v/>
      </c>
      <c r="I9" s="15" t="n">
        <v>159.899</v>
      </c>
      <c r="J9" s="16" t="n">
        <v>164.062</v>
      </c>
      <c r="K9" s="16" t="n">
        <v>169.882</v>
      </c>
      <c r="L9" s="16" t="n">
        <v>175.282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-0.433814</v>
      </c>
      <c r="O13" s="24" t="n">
        <v>4.163</v>
      </c>
      <c r="P13" s="24" t="n">
        <v>5.9946</v>
      </c>
      <c r="Q13" s="24" t="n">
        <v>4.102486</v>
      </c>
      <c r="R13" s="13" t="n"/>
    </row>
    <row r="14">
      <c r="D14" s="12" t="n"/>
      <c r="H14" s="13" t="n"/>
      <c r="I14" s="12" t="n"/>
      <c r="M14" s="13" t="n"/>
      <c r="N14" s="12" t="n"/>
      <c r="R14" s="13" t="n"/>
    </row>
    <row r="15">
      <c r="B15" s="14" t="inlineStr">
        <is>
          <t>Consensus Total Revenue</t>
        </is>
      </c>
      <c r="D15" s="12" t="n"/>
      <c r="H15" s="13" t="n"/>
      <c r="I15" s="12" t="n"/>
      <c r="M15" s="13" t="n"/>
      <c r="N15" s="15" t="n">
        <v>173.6845</v>
      </c>
      <c r="P15" s="16" t="n">
        <v>182.728971</v>
      </c>
      <c r="Q15" s="16" t="n">
        <v>187.88311</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145.805</v>
      </c>
      <c r="E32" s="16" t="n">
        <v>148.708</v>
      </c>
      <c r="F32" s="16" t="n">
        <v>153.867</v>
      </c>
      <c r="G32" s="16" t="n">
        <v>159.191</v>
      </c>
      <c r="H32" s="17">
        <f>SUM(D32:G32)</f>
        <v/>
      </c>
      <c r="I32" s="15" t="n">
        <v>159.899</v>
      </c>
      <c r="J32" s="16" t="n">
        <v>164.062</v>
      </c>
      <c r="K32" s="16" t="n">
        <v>169.882</v>
      </c>
      <c r="L32" s="16" t="n">
        <v>175.282</v>
      </c>
      <c r="M32" s="17">
        <f>SUM(I32:L32)</f>
        <v/>
      </c>
      <c r="N32" s="12" t="n"/>
      <c r="R32" s="13" t="n"/>
    </row>
    <row r="33">
      <c r="B33" s="14" t="inlineStr">
        <is>
          <t>Consensus Revenue</t>
        </is>
      </c>
      <c r="D33" s="15" t="n">
        <v>145.7</v>
      </c>
      <c r="E33" s="16" t="n">
        <v>148.7</v>
      </c>
      <c r="F33" s="16" t="n">
        <v>150.7</v>
      </c>
      <c r="G33" s="16" t="n">
        <v>156.27221</v>
      </c>
      <c r="H33" s="17">
        <f>SUM(D33:G33)</f>
        <v/>
      </c>
      <c r="I33" s="15" t="n">
        <v>159.91182</v>
      </c>
      <c r="J33" s="16" t="n">
        <v>161.26166</v>
      </c>
      <c r="K33" s="16" t="n">
        <v>173.1789</v>
      </c>
      <c r="L33" s="16" t="n">
        <v>173.1643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7">
        <f>IFERROR((I32-I33)/I33,"-")</f>
        <v/>
      </c>
      <c r="J35" s="26">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0.0026</v>
      </c>
      <c r="D37" s="12" t="n"/>
      <c r="H37" s="13" t="n"/>
      <c r="I37" s="12" t="n"/>
      <c r="M37" s="13" t="n"/>
      <c r="N37" s="12" t="n"/>
      <c r="R37" s="13" t="n"/>
    </row>
    <row r="38">
      <c r="B38" s="2" t="inlineStr">
        <is>
          <t xml:space="preserve">   Trailing 8Q Avg Beat</t>
        </is>
      </c>
      <c r="C38" s="29" t="n">
        <v>0.0067</v>
      </c>
      <c r="D38" s="12" t="n"/>
      <c r="H38" s="13" t="n"/>
      <c r="I38" s="12" t="n"/>
      <c r="M38" s="13" t="n"/>
      <c r="N38" s="12" t="n"/>
      <c r="R38" s="13" t="n"/>
    </row>
    <row r="39">
      <c r="B39" s="2" t="inlineStr">
        <is>
          <t xml:space="preserve">   Selected Beat Cadence</t>
        </is>
      </c>
      <c r="C39" s="30" t="n">
        <v>0.0067</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NOW: KIN Base Case Operating Model</t>
        </is>
      </c>
    </row>
    <row r="2">
      <c r="B2" s="2" t="inlineStr">
        <is>
          <t>USD in Millions Unless Stated Otherwise</t>
        </is>
      </c>
    </row>
    <row r="3">
      <c r="B3" s="6" t="inlineStr">
        <is>
          <t>Beat Cadence (%)</t>
        </is>
      </c>
      <c r="C3" s="7" t="n">
        <v>0.0111</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2603</v>
      </c>
      <c r="E9" s="16" t="n">
        <v>2627</v>
      </c>
      <c r="F9" s="16" t="n">
        <v>2797</v>
      </c>
      <c r="G9" s="16" t="n">
        <v>2957</v>
      </c>
      <c r="H9" s="17">
        <f>SUM(D9:G9)</f>
        <v/>
      </c>
      <c r="I9" s="15" t="n">
        <v>3088</v>
      </c>
      <c r="J9" s="16" t="n">
        <v>3215</v>
      </c>
      <c r="K9" s="16" t="n">
        <v>3407</v>
      </c>
      <c r="L9" s="16" t="n">
        <v>3568</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220.291403</v>
      </c>
      <c r="O13" s="24" t="n">
        <v>56.012297</v>
      </c>
      <c r="P13" s="24" t="n">
        <v>176.64</v>
      </c>
      <c r="Q13" s="24" t="n">
        <v>148.12</v>
      </c>
      <c r="R13" s="13" t="n"/>
    </row>
    <row r="14">
      <c r="D14" s="12" t="n"/>
      <c r="H14" s="13" t="n"/>
      <c r="I14" s="12" t="n"/>
      <c r="M14" s="13" t="n"/>
      <c r="N14" s="12" t="n"/>
      <c r="R14" s="13" t="n"/>
    </row>
    <row r="15">
      <c r="B15" s="14" t="inlineStr">
        <is>
          <t>Consensus Total Revenue</t>
        </is>
      </c>
      <c r="D15" s="12" t="n"/>
      <c r="H15" s="13" t="n"/>
      <c r="I15" s="12" t="n"/>
      <c r="M15" s="13" t="n"/>
      <c r="N15" s="15" t="n">
        <v>3746.703</v>
      </c>
      <c r="P15" s="16" t="n">
        <v>4087.417842</v>
      </c>
      <c r="Q15" s="16" t="n">
        <v>4284.621409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2603</v>
      </c>
      <c r="E32" s="16" t="n">
        <v>2627</v>
      </c>
      <c r="F32" s="16" t="n">
        <v>2797</v>
      </c>
      <c r="G32" s="16" t="n">
        <v>2957</v>
      </c>
      <c r="H32" s="17">
        <f>SUM(D32:G32)</f>
        <v/>
      </c>
      <c r="I32" s="15" t="n">
        <v>3088</v>
      </c>
      <c r="J32" s="16" t="n">
        <v>3215</v>
      </c>
      <c r="K32" s="16" t="n">
        <v>3407</v>
      </c>
      <c r="L32" s="16" t="n">
        <v>3568</v>
      </c>
      <c r="M32" s="17">
        <f>SUM(I32:L32)</f>
        <v/>
      </c>
      <c r="N32" s="12" t="n"/>
      <c r="R32" s="13" t="n"/>
    </row>
    <row r="33">
      <c r="B33" s="14" t="inlineStr">
        <is>
          <t>Consensus Revenue</t>
        </is>
      </c>
      <c r="D33" s="15" t="n">
        <v>2588.08553</v>
      </c>
      <c r="E33" s="16" t="n">
        <v>2606.801917</v>
      </c>
      <c r="F33" s="16" t="n">
        <v>2745.530127</v>
      </c>
      <c r="G33" s="16" t="n">
        <v>2963.305321</v>
      </c>
      <c r="H33" s="17">
        <f>SUM(D33:G33)</f>
        <v/>
      </c>
      <c r="I33" s="15" t="n">
        <v>3083.239432</v>
      </c>
      <c r="J33" s="16" t="n">
        <v>3120.45085</v>
      </c>
      <c r="K33" s="16" t="n">
        <v>3355.346413</v>
      </c>
      <c r="L33" s="16" t="n">
        <v>3528.315</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0.0146</v>
      </c>
      <c r="D37" s="12" t="n"/>
      <c r="H37" s="13" t="n"/>
      <c r="I37" s="12" t="n"/>
      <c r="M37" s="13" t="n"/>
      <c r="N37" s="12" t="n"/>
      <c r="R37" s="13" t="n"/>
    </row>
    <row r="38">
      <c r="B38" s="2" t="inlineStr">
        <is>
          <t xml:space="preserve">   Trailing 8Q Avg Beat</t>
        </is>
      </c>
      <c r="C38" s="29" t="n">
        <v>0.0111</v>
      </c>
      <c r="D38" s="12" t="n"/>
      <c r="H38" s="13" t="n"/>
      <c r="I38" s="12" t="n"/>
      <c r="M38" s="13" t="n"/>
      <c r="N38" s="12" t="n"/>
      <c r="R38" s="13" t="n"/>
    </row>
    <row r="39">
      <c r="B39" s="2" t="inlineStr">
        <is>
          <t xml:space="preserve">   Selected Beat Cadence</t>
        </is>
      </c>
      <c r="C39" s="30" t="n">
        <v>0.0111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ADBE: KIN Base Case Operating Model</t>
        </is>
      </c>
    </row>
    <row r="2">
      <c r="B2" s="2" t="inlineStr">
        <is>
          <t>USD in Millions Unless Stated Otherwise</t>
        </is>
      </c>
    </row>
    <row r="3">
      <c r="B3" s="6" t="inlineStr">
        <is>
          <t>Beat Cadence (%)</t>
        </is>
      </c>
      <c r="C3" s="7" t="n">
        <v>0.0144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5182</v>
      </c>
      <c r="E9" s="16" t="n">
        <v>5309</v>
      </c>
      <c r="F9" s="16" t="n">
        <v>5408</v>
      </c>
      <c r="G9" s="16" t="n">
        <v>5606</v>
      </c>
      <c r="H9" s="17">
        <f>SUM(D9:G9)</f>
        <v/>
      </c>
      <c r="I9" s="15" t="n">
        <v>5714</v>
      </c>
      <c r="J9" s="16" t="n">
        <v>5873</v>
      </c>
      <c r="K9" s="16" t="n">
        <v>5988</v>
      </c>
      <c r="L9" s="16" t="n">
        <v>6194</v>
      </c>
      <c r="M9" s="17">
        <f>SUM(I9:L9)</f>
        <v/>
      </c>
      <c r="N9" s="15" t="n">
        <v>6398</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153.907146</v>
      </c>
      <c r="P13" s="24" t="n">
        <v>105.8</v>
      </c>
      <c r="Q13" s="24" t="n">
        <v>173.005194</v>
      </c>
      <c r="R13" s="13" t="n"/>
      <c r="S13" s="25" t="n">
        <v>174.488117</v>
      </c>
    </row>
    <row r="14">
      <c r="D14" s="12" t="n"/>
      <c r="H14" s="13" t="n"/>
      <c r="I14" s="12" t="n"/>
      <c r="M14" s="13" t="n"/>
      <c r="N14" s="12" t="n"/>
      <c r="R14" s="13" t="n"/>
      <c r="S14" s="12" t="n"/>
    </row>
    <row r="15">
      <c r="B15" s="14" t="inlineStr">
        <is>
          <t>Consensus Total Revenue</t>
        </is>
      </c>
      <c r="D15" s="12" t="n"/>
      <c r="H15" s="13" t="n"/>
      <c r="I15" s="12" t="n"/>
      <c r="M15" s="13" t="n"/>
      <c r="N15" s="12" t="n"/>
      <c r="O15" s="16" t="n">
        <v>6458.899</v>
      </c>
      <c r="P15" s="16" t="n">
        <v>6512.945401</v>
      </c>
      <c r="Q15" s="16" t="n">
        <v>6688.326093</v>
      </c>
      <c r="R15" s="13" t="n"/>
      <c r="S15" s="15" t="n">
        <v>6910.227081</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26">
        <f>IFERROR((P9-P15)/P15,"-")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5182</v>
      </c>
      <c r="E32" s="16" t="n">
        <v>5309</v>
      </c>
      <c r="F32" s="16" t="n">
        <v>5408</v>
      </c>
      <c r="G32" s="16" t="n">
        <v>5606</v>
      </c>
      <c r="H32" s="17">
        <f>SUM(D32:G32)</f>
        <v/>
      </c>
      <c r="I32" s="15" t="n">
        <v>5714</v>
      </c>
      <c r="J32" s="16" t="n">
        <v>5873</v>
      </c>
      <c r="K32" s="16" t="n">
        <v>5988</v>
      </c>
      <c r="L32" s="16" t="n">
        <v>6194</v>
      </c>
      <c r="M32" s="17">
        <f>SUM(I32:L32)</f>
        <v/>
      </c>
      <c r="N32" s="15" t="n">
        <v>6398</v>
      </c>
      <c r="R32" s="13" t="n"/>
      <c r="S32" s="12" t="n"/>
    </row>
    <row r="33">
      <c r="B33" s="14" t="inlineStr">
        <is>
          <t>Consensus Revenue</t>
        </is>
      </c>
      <c r="D33" s="15" t="n">
        <v>5143.432923</v>
      </c>
      <c r="E33" s="16" t="n">
        <v>5291.458037</v>
      </c>
      <c r="F33" s="16" t="n">
        <v>5371.968421</v>
      </c>
      <c r="G33" s="16" t="n">
        <v>5539.960692</v>
      </c>
      <c r="H33" s="17">
        <f>SUM(D33:G33)</f>
        <v/>
      </c>
      <c r="I33" s="15" t="n">
        <v>5661.513687</v>
      </c>
      <c r="J33" s="16" t="n">
        <v>5799.327321</v>
      </c>
      <c r="K33" s="16" t="n">
        <v>5918.001977</v>
      </c>
      <c r="L33" s="16" t="n">
        <v>6110.25</v>
      </c>
      <c r="M33" s="17">
        <f>SUM(I33:L33)</f>
        <v/>
      </c>
      <c r="N33" s="15" t="n">
        <v>6276.514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0.0144</v>
      </c>
      <c r="D37" s="12" t="n"/>
      <c r="H37" s="13" t="n"/>
      <c r="I37" s="12" t="n"/>
      <c r="M37" s="13" t="n"/>
      <c r="N37" s="12" t="n"/>
      <c r="R37" s="13" t="n"/>
      <c r="S37" s="12" t="n"/>
    </row>
    <row r="38">
      <c r="B38" s="2" t="inlineStr">
        <is>
          <t xml:space="preserve">   Trailing 8Q Avg Beat</t>
        </is>
      </c>
      <c r="C38" s="29" t="n">
        <v>0.0111</v>
      </c>
      <c r="D38" s="12" t="n"/>
      <c r="H38" s="13" t="n"/>
      <c r="I38" s="12" t="n"/>
      <c r="M38" s="13" t="n"/>
      <c r="N38" s="12" t="n"/>
      <c r="R38" s="13" t="n"/>
      <c r="S38" s="12" t="n"/>
    </row>
    <row r="39">
      <c r="B39" s="2" t="inlineStr">
        <is>
          <t xml:space="preserve">   Selected Beat Cadence</t>
        </is>
      </c>
      <c r="C39" s="30" t="n">
        <v>0.0144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INTU: KIN Base Case Operating Model</t>
        </is>
      </c>
    </row>
    <row r="2">
      <c r="B2" s="2" t="inlineStr">
        <is>
          <t>USD in Millions Unless Stated Otherwise</t>
        </is>
      </c>
    </row>
    <row r="3">
      <c r="B3" s="6" t="inlineStr">
        <is>
          <t>Beat Cadence (%)</t>
        </is>
      </c>
      <c r="C3" s="7" t="n">
        <v>0.0271</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3386</v>
      </c>
      <c r="E9" s="16" t="n">
        <v>6737</v>
      </c>
      <c r="F9" s="16" t="n">
        <v>3184</v>
      </c>
      <c r="G9" s="16" t="n">
        <v>3283</v>
      </c>
      <c r="H9" s="17">
        <f>SUM(D9:G9)</f>
        <v/>
      </c>
      <c r="I9" s="15" t="n">
        <v>3963</v>
      </c>
      <c r="J9" s="16" t="n">
        <v>7754</v>
      </c>
      <c r="K9" s="16" t="n">
        <v>3831</v>
      </c>
      <c r="L9" s="16" t="n">
        <v>3885</v>
      </c>
      <c r="M9" s="17">
        <f>SUM(I9:L9)</f>
        <v/>
      </c>
      <c r="N9" s="15" t="n">
        <v>4651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4113.758877</v>
      </c>
      <c r="P13" s="24" t="n">
        <v>-4282.74</v>
      </c>
      <c r="Q13" s="24" t="n">
        <v>-2.400779</v>
      </c>
      <c r="R13" s="13" t="n"/>
      <c r="S13" s="25" t="n">
        <v>587.3002770000001</v>
      </c>
    </row>
    <row r="14">
      <c r="D14" s="12" t="n"/>
      <c r="H14" s="13" t="n"/>
      <c r="I14" s="12" t="n"/>
      <c r="M14" s="13" t="n"/>
      <c r="N14" s="12" t="n"/>
      <c r="R14" s="13" t="n"/>
      <c r="S14" s="12" t="n"/>
    </row>
    <row r="15">
      <c r="B15" s="14" t="inlineStr">
        <is>
          <t>Consensus Total Revenue</t>
        </is>
      </c>
      <c r="D15" s="12" t="n"/>
      <c r="H15" s="13" t="n"/>
      <c r="I15" s="12" t="n"/>
      <c r="M15" s="13" t="n"/>
      <c r="N15" s="12" t="n"/>
      <c r="O15" s="16" t="n">
        <v>8533.501</v>
      </c>
      <c r="R15" s="13" t="n"/>
      <c r="S15" s="12" t="n"/>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2" t="n"/>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12" t="n"/>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R21" s="20">
        <f>IFERROR((R9-R15)/R15,"-")</f>
        <v/>
      </c>
      <c r="S21" s="12" t="n"/>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3386</v>
      </c>
      <c r="E32" s="16" t="n">
        <v>6737</v>
      </c>
      <c r="F32" s="16" t="n">
        <v>3184</v>
      </c>
      <c r="G32" s="16" t="n">
        <v>3283</v>
      </c>
      <c r="H32" s="17">
        <f>SUM(D32:G32)</f>
        <v/>
      </c>
      <c r="I32" s="15" t="n">
        <v>3963</v>
      </c>
      <c r="J32" s="16" t="n">
        <v>7754</v>
      </c>
      <c r="K32" s="16" t="n">
        <v>3831</v>
      </c>
      <c r="L32" s="16" t="n">
        <v>3885</v>
      </c>
      <c r="M32" s="17">
        <f>SUM(I32:L32)</f>
        <v/>
      </c>
      <c r="N32" s="15" t="n">
        <v>4651</v>
      </c>
      <c r="R32" s="13" t="n"/>
      <c r="S32" s="12" t="n"/>
    </row>
    <row r="33">
      <c r="B33" s="14" t="inlineStr">
        <is>
          <t>Consensus Revenue</t>
        </is>
      </c>
      <c r="D33" s="15" t="n">
        <v>3386.488777</v>
      </c>
      <c r="E33" s="16" t="n">
        <v>6647.681357</v>
      </c>
      <c r="F33" s="16" t="n">
        <v>3084.711015</v>
      </c>
      <c r="G33" s="16" t="n">
        <v>3139.982647</v>
      </c>
      <c r="H33" s="17">
        <f>SUM(D33:G33)</f>
        <v/>
      </c>
      <c r="I33" s="15" t="n">
        <v>3834.273674</v>
      </c>
      <c r="J33" s="16" t="n">
        <v>7567.536893</v>
      </c>
      <c r="K33" s="16" t="n">
        <v>3743.497871</v>
      </c>
      <c r="L33" s="16" t="n">
        <v>3756.292308</v>
      </c>
      <c r="M33" s="17">
        <f>SUM(I33:L33)</f>
        <v/>
      </c>
      <c r="N33" s="15" t="n">
        <v>4533.614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0.0271</v>
      </c>
      <c r="D37" s="12" t="n"/>
      <c r="H37" s="13" t="n"/>
      <c r="I37" s="12" t="n"/>
      <c r="M37" s="13" t="n"/>
      <c r="N37" s="12" t="n"/>
      <c r="R37" s="13" t="n"/>
      <c r="S37" s="12" t="n"/>
    </row>
    <row r="38">
      <c r="B38" s="2" t="inlineStr">
        <is>
          <t xml:space="preserve">   Trailing 8Q Avg Beat</t>
        </is>
      </c>
      <c r="C38" s="29" t="n">
        <v>0.0291</v>
      </c>
      <c r="D38" s="12" t="n"/>
      <c r="H38" s="13" t="n"/>
      <c r="I38" s="12" t="n"/>
      <c r="M38" s="13" t="n"/>
      <c r="N38" s="12" t="n"/>
      <c r="R38" s="13" t="n"/>
      <c r="S38" s="12" t="n"/>
    </row>
    <row r="39">
      <c r="B39" s="2" t="inlineStr">
        <is>
          <t xml:space="preserve">   Selected Beat Cadence</t>
        </is>
      </c>
      <c r="C39" s="30" t="n">
        <v>0.0271</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WDAY: KIN Base Case Operating Model</t>
        </is>
      </c>
    </row>
    <row r="2">
      <c r="B2" s="2" t="inlineStr">
        <is>
          <t>USD in Millions Unless Stated Otherwise</t>
        </is>
      </c>
    </row>
    <row r="3">
      <c r="B3" s="6" t="inlineStr">
        <is>
          <t>Beat Cadence (%)</t>
        </is>
      </c>
      <c r="C3" s="7" t="n">
        <v>0.0046</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1938.014</v>
      </c>
      <c r="E9" s="16" t="n">
        <v>1990</v>
      </c>
      <c r="F9" s="16" t="n">
        <v>2085</v>
      </c>
      <c r="G9" s="16" t="n">
        <v>2160</v>
      </c>
      <c r="H9" s="17">
        <f>SUM(D9:G9)</f>
        <v/>
      </c>
      <c r="I9" s="15" t="n">
        <v>2211</v>
      </c>
      <c r="J9" s="16" t="n">
        <v>2240</v>
      </c>
      <c r="K9" s="16" t="n">
        <v>2348</v>
      </c>
      <c r="L9" s="16" t="n">
        <v>2432</v>
      </c>
      <c r="M9" s="17">
        <f>SUM(I9:L9)</f>
        <v/>
      </c>
      <c r="N9" s="15" t="n">
        <v>2532</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-3.789484</v>
      </c>
      <c r="P13" s="24" t="n">
        <v>108</v>
      </c>
      <c r="Q13" s="24" t="n">
        <v>71.09102799999999</v>
      </c>
      <c r="R13" s="13" t="n"/>
      <c r="S13" s="25" t="n">
        <v>59.887789</v>
      </c>
    </row>
    <row r="14">
      <c r="D14" s="12" t="n"/>
      <c r="H14" s="13" t="n"/>
      <c r="I14" s="12" t="n"/>
      <c r="M14" s="13" t="n"/>
      <c r="N14" s="12" t="n"/>
      <c r="R14" s="13" t="n"/>
      <c r="S14" s="12" t="n"/>
    </row>
    <row r="15">
      <c r="B15" s="14" t="inlineStr">
        <is>
          <t>Consensus Total Revenue</t>
        </is>
      </c>
      <c r="D15" s="12" t="n"/>
      <c r="H15" s="13" t="n"/>
      <c r="I15" s="12" t="n"/>
      <c r="M15" s="13" t="n"/>
      <c r="N15" s="12" t="n"/>
      <c r="O15" s="16" t="n">
        <v>2516.634</v>
      </c>
      <c r="Q15" s="16" t="n">
        <v>2708.027776</v>
      </c>
      <c r="R15" s="13" t="n"/>
      <c r="S15" s="15" t="n">
        <v>2804.139202</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1938.014</v>
      </c>
      <c r="E32" s="16" t="n">
        <v>1990</v>
      </c>
      <c r="F32" s="16" t="n">
        <v>2085</v>
      </c>
      <c r="G32" s="16" t="n">
        <v>2160</v>
      </c>
      <c r="H32" s="17">
        <f>SUM(D32:G32)</f>
        <v/>
      </c>
      <c r="I32" s="15" t="n">
        <v>2211</v>
      </c>
      <c r="J32" s="16" t="n">
        <v>2240</v>
      </c>
      <c r="K32" s="16" t="n">
        <v>2348</v>
      </c>
      <c r="L32" s="16" t="n">
        <v>2432</v>
      </c>
      <c r="M32" s="17">
        <f>SUM(I32:L32)</f>
        <v/>
      </c>
      <c r="N32" s="15" t="n">
        <v>2532</v>
      </c>
      <c r="R32" s="13" t="n"/>
      <c r="S32" s="12" t="n"/>
    </row>
    <row r="33">
      <c r="B33" s="14" t="inlineStr">
        <is>
          <t>Consensus Revenue</t>
        </is>
      </c>
      <c r="D33" s="15" t="n">
        <v>1916.738459</v>
      </c>
      <c r="E33" s="16" t="n">
        <v>1975.916617</v>
      </c>
      <c r="F33" s="16" t="n">
        <v>2072.099581</v>
      </c>
      <c r="G33" s="16" t="n">
        <v>2138.368391</v>
      </c>
      <c r="H33" s="17">
        <f>SUM(D33:G33)</f>
        <v/>
      </c>
      <c r="I33" s="15" t="n">
        <v>2183.935469</v>
      </c>
      <c r="J33" s="16" t="n">
        <v>2217.731758</v>
      </c>
      <c r="K33" s="16" t="n">
        <v>2341.451111</v>
      </c>
      <c r="L33" s="16" t="n">
        <v>2417.092509</v>
      </c>
      <c r="M33" s="17">
        <f>SUM(I33:L33)</f>
        <v/>
      </c>
      <c r="N33" s="15" t="n">
        <v>2523.734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0.0038</v>
      </c>
      <c r="D37" s="12" t="n"/>
      <c r="H37" s="13" t="n"/>
      <c r="I37" s="12" t="n"/>
      <c r="M37" s="13" t="n"/>
      <c r="N37" s="12" t="n"/>
      <c r="R37" s="13" t="n"/>
      <c r="S37" s="12" t="n"/>
    </row>
    <row r="38">
      <c r="B38" s="2" t="inlineStr">
        <is>
          <t xml:space="preserve">   Trailing 8Q Avg Beat</t>
        </is>
      </c>
      <c r="C38" s="29" t="n">
        <v>0.0046</v>
      </c>
      <c r="D38" s="12" t="n"/>
      <c r="H38" s="13" t="n"/>
      <c r="I38" s="12" t="n"/>
      <c r="M38" s="13" t="n"/>
      <c r="N38" s="12" t="n"/>
      <c r="R38" s="13" t="n"/>
      <c r="S38" s="12" t="n"/>
    </row>
    <row r="39">
      <c r="B39" s="2" t="inlineStr">
        <is>
          <t xml:space="preserve">   Selected Beat Cadence</t>
        </is>
      </c>
      <c r="C39" s="30" t="n">
        <v>0.0046</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PANW: KIN Base Case Operating Model</t>
        </is>
      </c>
    </row>
    <row r="2">
      <c r="B2" s="2" t="inlineStr">
        <is>
          <t>USD in Millions Unless Stated Otherwise</t>
        </is>
      </c>
    </row>
    <row r="3">
      <c r="B3" s="6" t="inlineStr">
        <is>
          <t>Beat Cadence (%)</t>
        </is>
      </c>
      <c r="C3" s="7" t="n">
        <v>0.0077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1975.1</v>
      </c>
      <c r="E9" s="16" t="n">
        <v>1984.8</v>
      </c>
      <c r="F9" s="16" t="n">
        <v>2189.5</v>
      </c>
      <c r="G9" s="16" t="n">
        <v>2139</v>
      </c>
      <c r="H9" s="17">
        <f>SUM(D9:G9)</f>
        <v/>
      </c>
      <c r="I9" s="15" t="n">
        <v>2257.4</v>
      </c>
      <c r="J9" s="16" t="n">
        <v>2289</v>
      </c>
      <c r="K9" s="16" t="n">
        <v>2536.1</v>
      </c>
      <c r="L9" s="16" t="n">
        <v>2474</v>
      </c>
      <c r="M9" s="17">
        <f>SUM(I9:L9)</f>
        <v/>
      </c>
      <c r="N9" s="15" t="n">
        <v>2594</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372.710905</v>
      </c>
      <c r="P13" s="24" t="n">
        <v>247.1</v>
      </c>
      <c r="Q13" s="24" t="n">
        <v>-31.376353</v>
      </c>
      <c r="R13" s="13" t="n"/>
      <c r="S13" s="25" t="n">
        <v>120</v>
      </c>
    </row>
    <row r="14">
      <c r="D14" s="12" t="n"/>
      <c r="H14" s="13" t="n"/>
      <c r="I14" s="12" t="n"/>
      <c r="M14" s="13" t="n"/>
      <c r="N14" s="12" t="n"/>
      <c r="R14" s="13" t="n"/>
      <c r="S14" s="12" t="n"/>
    </row>
    <row r="15">
      <c r="B15" s="14" t="inlineStr">
        <is>
          <t>Consensus Total Revenue</t>
        </is>
      </c>
      <c r="D15" s="12" t="n"/>
      <c r="H15" s="13" t="n"/>
      <c r="I15" s="12" t="n"/>
      <c r="M15" s="13" t="n"/>
      <c r="N15" s="12" t="n"/>
      <c r="O15" s="16" t="n">
        <v>2944.041783</v>
      </c>
      <c r="P15" s="16" t="n">
        <v>3276.842228</v>
      </c>
      <c r="Q15" s="16" t="n">
        <v>3165.164918</v>
      </c>
      <c r="R15" s="13" t="n"/>
      <c r="S15" s="15" t="n">
        <v>3288.825862</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31">
        <f>IFERROR((P9-P15)/P15,"-")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31">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1975.1</v>
      </c>
      <c r="E32" s="16" t="n">
        <v>1984.8</v>
      </c>
      <c r="F32" s="16" t="n">
        <v>2189.5</v>
      </c>
      <c r="G32" s="16" t="n">
        <v>2139</v>
      </c>
      <c r="H32" s="17">
        <f>SUM(D32:G32)</f>
        <v/>
      </c>
      <c r="I32" s="15" t="n">
        <v>2257.4</v>
      </c>
      <c r="J32" s="16" t="n">
        <v>2289</v>
      </c>
      <c r="K32" s="16" t="n">
        <v>2536.1</v>
      </c>
      <c r="L32" s="16" t="n">
        <v>2474</v>
      </c>
      <c r="M32" s="17">
        <f>SUM(I32:L32)</f>
        <v/>
      </c>
      <c r="N32" s="15" t="n">
        <v>2594</v>
      </c>
      <c r="R32" s="13" t="n"/>
      <c r="S32" s="12" t="n"/>
    </row>
    <row r="33">
      <c r="B33" s="14" t="inlineStr">
        <is>
          <t>Consensus Revenue</t>
        </is>
      </c>
      <c r="D33" s="15" t="n">
        <v>1970.974896</v>
      </c>
      <c r="E33" s="16" t="n">
        <v>1973.738751</v>
      </c>
      <c r="F33" s="16" t="n">
        <v>2162.383186</v>
      </c>
      <c r="G33" s="16" t="n">
        <v>2120.918152</v>
      </c>
      <c r="H33" s="17">
        <f>SUM(D33:G33)</f>
        <v/>
      </c>
      <c r="I33" s="15" t="n">
        <v>2241.481684</v>
      </c>
      <c r="J33" s="16" t="n">
        <v>2279.142304</v>
      </c>
      <c r="K33" s="16" t="n">
        <v>2501.491265</v>
      </c>
      <c r="L33" s="16" t="n">
        <v>2461.743081</v>
      </c>
      <c r="M33" s="17">
        <f>SUM(I33:L33)</f>
        <v/>
      </c>
      <c r="N33" s="15" t="n">
        <v>2582.811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0.0069</v>
      </c>
      <c r="D37" s="12" t="n"/>
      <c r="H37" s="13" t="n"/>
      <c r="I37" s="12" t="n"/>
      <c r="M37" s="13" t="n"/>
      <c r="N37" s="12" t="n"/>
      <c r="R37" s="13" t="n"/>
      <c r="S37" s="12" t="n"/>
    </row>
    <row r="38">
      <c r="B38" s="2" t="inlineStr">
        <is>
          <t xml:space="preserve">   Trailing 8Q Avg Beat</t>
        </is>
      </c>
      <c r="C38" s="29" t="n">
        <v>0.0077</v>
      </c>
      <c r="D38" s="12" t="n"/>
      <c r="H38" s="13" t="n"/>
      <c r="I38" s="12" t="n"/>
      <c r="M38" s="13" t="n"/>
      <c r="N38" s="12" t="n"/>
      <c r="R38" s="13" t="n"/>
      <c r="S38" s="12" t="n"/>
    </row>
    <row r="39">
      <c r="B39" s="2" t="inlineStr">
        <is>
          <t xml:space="preserve">   Selected Beat Cadence</t>
        </is>
      </c>
      <c r="C39" s="30" t="n">
        <v>0.0077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CDNS: KIN Base Case Operating Model</t>
        </is>
      </c>
    </row>
    <row r="2">
      <c r="B2" s="2" t="inlineStr">
        <is>
          <t>USD in Millions Unless Stated Otherwise</t>
        </is>
      </c>
    </row>
    <row r="3">
      <c r="B3" s="6" t="inlineStr">
        <is>
          <t>Beat Cadence (%)</t>
        </is>
      </c>
      <c r="C3" s="7" t="n">
        <v>0.0115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1009.103</v>
      </c>
      <c r="E9" s="16" t="n">
        <v>1060.681</v>
      </c>
      <c r="F9" s="16" t="n">
        <v>1215.499</v>
      </c>
      <c r="G9" s="16" t="n">
        <v>1355.981</v>
      </c>
      <c r="H9" s="17">
        <f>SUM(D9:G9)</f>
        <v/>
      </c>
      <c r="I9" s="15" t="n">
        <v>1242.366</v>
      </c>
      <c r="J9" s="16" t="n">
        <v>1275.441</v>
      </c>
      <c r="K9" s="16" t="n">
        <v>1338.838</v>
      </c>
      <c r="L9" s="16" t="n">
        <v>1440.114</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23.862318</v>
      </c>
      <c r="O13" s="24" t="n">
        <v>25.850518</v>
      </c>
      <c r="P13" s="24" t="n">
        <v>45.467675</v>
      </c>
      <c r="Q13" s="24" t="n">
        <v>68.74487499999999</v>
      </c>
      <c r="R13" s="13" t="n"/>
    </row>
    <row r="14">
      <c r="D14" s="12" t="n"/>
      <c r="H14" s="13" t="n"/>
      <c r="I14" s="12" t="n"/>
      <c r="M14" s="13" t="n"/>
      <c r="N14" s="12" t="n"/>
      <c r="R14" s="13" t="n"/>
    </row>
    <row r="15">
      <c r="B15" s="14" t="inlineStr">
        <is>
          <t>Consensus Total Revenue</t>
        </is>
      </c>
      <c r="D15" s="12" t="n"/>
      <c r="H15" s="13" t="n"/>
      <c r="I15" s="12" t="n"/>
      <c r="M15" s="13" t="n"/>
      <c r="N15" s="15" t="n">
        <v>1447.332</v>
      </c>
      <c r="P15" s="16" t="n">
        <v>1519.612606</v>
      </c>
      <c r="Q15" s="16" t="n">
        <v>1604.541716</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1009.103</v>
      </c>
      <c r="E32" s="16" t="n">
        <v>1060.681</v>
      </c>
      <c r="F32" s="16" t="n">
        <v>1215.499</v>
      </c>
      <c r="G32" s="16" t="n">
        <v>1355.981</v>
      </c>
      <c r="H32" s="17">
        <f>SUM(D32:G32)</f>
        <v/>
      </c>
      <c r="I32" s="15" t="n">
        <v>1242.366</v>
      </c>
      <c r="J32" s="16" t="n">
        <v>1275.441</v>
      </c>
      <c r="K32" s="16" t="n">
        <v>1338.838</v>
      </c>
      <c r="L32" s="16" t="n">
        <v>1440.114</v>
      </c>
      <c r="M32" s="17">
        <f>SUM(I32:L32)</f>
        <v/>
      </c>
      <c r="N32" s="12" t="n"/>
      <c r="R32" s="13" t="n"/>
    </row>
    <row r="33">
      <c r="B33" s="14" t="inlineStr">
        <is>
          <t>Consensus Revenue</t>
        </is>
      </c>
      <c r="D33" s="15" t="n">
        <v>1002.252925</v>
      </c>
      <c r="E33" s="16" t="n">
        <v>1042.577722</v>
      </c>
      <c r="F33" s="16" t="n">
        <v>1181.212021</v>
      </c>
      <c r="G33" s="16" t="n">
        <v>1345.912203</v>
      </c>
      <c r="H33" s="17">
        <f>SUM(D33:G33)</f>
        <v/>
      </c>
      <c r="I33" s="15" t="n">
        <v>1239.849406</v>
      </c>
      <c r="J33" s="16" t="n">
        <v>1249.960748</v>
      </c>
      <c r="K33" s="16" t="n">
        <v>1322.861811</v>
      </c>
      <c r="L33" s="16" t="n">
        <v>1423.84</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0.0115</v>
      </c>
      <c r="D37" s="12" t="n"/>
      <c r="H37" s="13" t="n"/>
      <c r="I37" s="12" t="n"/>
      <c r="M37" s="13" t="n"/>
      <c r="N37" s="12" t="n"/>
      <c r="R37" s="13" t="n"/>
    </row>
    <row r="38">
      <c r="B38" s="2" t="inlineStr">
        <is>
          <t xml:space="preserve">   Trailing 8Q Avg Beat</t>
        </is>
      </c>
      <c r="C38" s="29" t="n">
        <v>0.0133</v>
      </c>
      <c r="D38" s="12" t="n"/>
      <c r="H38" s="13" t="n"/>
      <c r="I38" s="12" t="n"/>
      <c r="M38" s="13" t="n"/>
      <c r="N38" s="12" t="n"/>
      <c r="R38" s="13" t="n"/>
    </row>
    <row r="39">
      <c r="B39" s="2" t="inlineStr">
        <is>
          <t xml:space="preserve">   Selected Beat Cadence</t>
        </is>
      </c>
      <c r="C39" s="30" t="n">
        <v>0.0115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SNPS: KIN Base Case Operating Model</t>
        </is>
      </c>
    </row>
    <row r="2">
      <c r="B2" s="2" t="inlineStr">
        <is>
          <t>USD in Millions Unless Stated Otherwise</t>
        </is>
      </c>
    </row>
    <row r="3">
      <c r="B3" s="6" t="inlineStr">
        <is>
          <t>Beat Cadence (%)</t>
        </is>
      </c>
      <c r="C3" s="7" t="n">
        <v>0.002</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1510.989</v>
      </c>
      <c r="E9" s="16" t="n">
        <v>1454.712</v>
      </c>
      <c r="F9" s="16" t="n">
        <v>1525.749</v>
      </c>
      <c r="G9" s="16" t="n">
        <v>1635.986</v>
      </c>
      <c r="H9" s="17">
        <f>SUM(D9:G9)</f>
        <v/>
      </c>
      <c r="I9" s="15" t="n">
        <v>1455.315</v>
      </c>
      <c r="J9" s="16" t="n">
        <v>1604.266</v>
      </c>
      <c r="K9" s="16" t="n">
        <v>1739.737</v>
      </c>
      <c r="L9" s="16" t="n">
        <v>2254.86</v>
      </c>
      <c r="M9" s="17">
        <f>SUM(I9:L9)</f>
        <v/>
      </c>
      <c r="N9" s="15" t="n">
        <v>2408.798</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-154.764932</v>
      </c>
      <c r="P13" s="24" t="n">
        <v>64.47699900000001</v>
      </c>
      <c r="Q13" s="24" t="n">
        <v>515.123</v>
      </c>
      <c r="R13" s="13" t="n"/>
      <c r="S13" s="25" t="n">
        <v>102.371151</v>
      </c>
    </row>
    <row r="14">
      <c r="D14" s="12" t="n"/>
      <c r="H14" s="13" t="n"/>
      <c r="I14" s="12" t="n"/>
      <c r="M14" s="13" t="n"/>
      <c r="N14" s="12" t="n"/>
      <c r="R14" s="13" t="n"/>
      <c r="S14" s="12" t="n"/>
    </row>
    <row r="15">
      <c r="B15" s="14" t="inlineStr">
        <is>
          <t>Consensus Total Revenue</t>
        </is>
      </c>
      <c r="D15" s="12" t="n"/>
      <c r="H15" s="13" t="n"/>
      <c r="I15" s="12" t="n"/>
      <c r="M15" s="13" t="n"/>
      <c r="N15" s="12" t="n"/>
      <c r="O15" s="16" t="n">
        <v>2249.534</v>
      </c>
      <c r="P15" s="16" t="n">
        <v>2413.283484</v>
      </c>
      <c r="Q15" s="16" t="n">
        <v>2552.719587</v>
      </c>
      <c r="R15" s="13" t="n"/>
      <c r="S15" s="15" t="n">
        <v>2637.172656</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31">
        <f>IFERROR((P9-P15)/P15,"-")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31">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1510.989</v>
      </c>
      <c r="E32" s="16" t="n">
        <v>1454.712</v>
      </c>
      <c r="F32" s="16" t="n">
        <v>1525.749</v>
      </c>
      <c r="G32" s="16" t="n">
        <v>1635.986</v>
      </c>
      <c r="H32" s="17">
        <f>SUM(D32:G32)</f>
        <v/>
      </c>
      <c r="I32" s="15" t="n">
        <v>1455.315</v>
      </c>
      <c r="J32" s="16" t="n">
        <v>1604.266</v>
      </c>
      <c r="K32" s="16" t="n">
        <v>1739.737</v>
      </c>
      <c r="L32" s="16" t="n">
        <v>2254.86</v>
      </c>
      <c r="M32" s="17">
        <f>SUM(I32:L32)</f>
        <v/>
      </c>
      <c r="N32" s="15" t="n">
        <v>2408.798</v>
      </c>
      <c r="R32" s="13" t="n"/>
      <c r="S32" s="12" t="n"/>
    </row>
    <row r="33">
      <c r="B33" s="14" t="inlineStr">
        <is>
          <t>Consensus Revenue</t>
        </is>
      </c>
      <c r="D33" s="15" t="n">
        <v>1645.196906</v>
      </c>
      <c r="E33" s="16" t="n">
        <v>1441.073393</v>
      </c>
      <c r="F33" s="16" t="n">
        <v>1520.081951</v>
      </c>
      <c r="G33" s="16" t="n">
        <v>1630.878385</v>
      </c>
      <c r="H33" s="17">
        <f>SUM(D33:G33)</f>
        <v/>
      </c>
      <c r="I33" s="15" t="n">
        <v>1451.664346</v>
      </c>
      <c r="J33" s="16" t="n">
        <v>1600.128362</v>
      </c>
      <c r="K33" s="16" t="n">
        <v>1768.431957</v>
      </c>
      <c r="L33" s="16" t="n">
        <v>2247.350899</v>
      </c>
      <c r="M33" s="17">
        <f>SUM(I33:L33)</f>
        <v/>
      </c>
      <c r="N33" s="15" t="n">
        <v>2389.846</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31">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-0.0008</v>
      </c>
      <c r="D37" s="12" t="n"/>
      <c r="H37" s="13" t="n"/>
      <c r="I37" s="12" t="n"/>
      <c r="M37" s="13" t="n"/>
      <c r="N37" s="12" t="n"/>
      <c r="R37" s="13" t="n"/>
      <c r="S37" s="12" t="n"/>
    </row>
    <row r="38">
      <c r="B38" s="2" t="inlineStr">
        <is>
          <t xml:space="preserve">   Trailing 8Q Avg Beat</t>
        </is>
      </c>
      <c r="C38" s="29" t="n">
        <v>0.002</v>
      </c>
      <c r="D38" s="12" t="n"/>
      <c r="H38" s="13" t="n"/>
      <c r="I38" s="12" t="n"/>
      <c r="M38" s="13" t="n"/>
      <c r="N38" s="12" t="n"/>
      <c r="R38" s="13" t="n"/>
      <c r="S38" s="12" t="n"/>
    </row>
    <row r="39">
      <c r="B39" s="2" t="inlineStr">
        <is>
          <t xml:space="preserve">   Selected Beat Cadence</t>
        </is>
      </c>
      <c r="C39" s="30" t="n">
        <v>0.002</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ADSK: KIN Base Case Operating Model</t>
        </is>
      </c>
    </row>
    <row r="2">
      <c r="B2" s="2" t="inlineStr">
        <is>
          <t>USD in Millions Unless Stated Otherwise</t>
        </is>
      </c>
    </row>
    <row r="3">
      <c r="B3" s="6" t="inlineStr">
        <is>
          <t>Beat Cadence (%)</t>
        </is>
      </c>
      <c r="C3" s="7" t="n">
        <v>0.0204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1463</v>
      </c>
      <c r="E9" s="16" t="n">
        <v>1412</v>
      </c>
      <c r="F9" s="16" t="n">
        <v>1500</v>
      </c>
      <c r="G9" s="16" t="n">
        <v>1567</v>
      </c>
      <c r="H9" s="17">
        <f>SUM(D9:G9)</f>
        <v/>
      </c>
      <c r="I9" s="15" t="n">
        <v>1652</v>
      </c>
      <c r="J9" s="16" t="n">
        <v>1633</v>
      </c>
      <c r="K9" s="16" t="n">
        <v>1763</v>
      </c>
      <c r="L9" s="16" t="n">
        <v>1853</v>
      </c>
      <c r="M9" s="17">
        <f>SUM(I9:L9)</f>
        <v/>
      </c>
      <c r="N9" s="15" t="n">
        <v>1957</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-25.02566</v>
      </c>
      <c r="P13" s="24" t="n">
        <v>130</v>
      </c>
      <c r="Q13" s="24" t="n">
        <v>64.319444</v>
      </c>
      <c r="R13" s="13" t="n"/>
      <c r="S13" s="25" t="n">
        <v>76.552778</v>
      </c>
    </row>
    <row r="14">
      <c r="D14" s="12" t="n"/>
      <c r="H14" s="13" t="n"/>
      <c r="I14" s="12" t="n"/>
      <c r="M14" s="13" t="n"/>
      <c r="N14" s="12" t="n"/>
      <c r="R14" s="13" t="n"/>
      <c r="S14" s="12" t="n"/>
    </row>
    <row r="15">
      <c r="B15" s="14" t="inlineStr">
        <is>
          <t>Consensus Total Revenue</t>
        </is>
      </c>
      <c r="D15" s="12" t="n"/>
      <c r="H15" s="13" t="n"/>
      <c r="I15" s="12" t="n"/>
      <c r="M15" s="13" t="n"/>
      <c r="N15" s="12" t="n"/>
      <c r="O15" s="16" t="n">
        <v>1893.35</v>
      </c>
      <c r="Q15" s="16" t="n">
        <v>2081.28948</v>
      </c>
      <c r="R15" s="13" t="n"/>
      <c r="S15" s="15" t="n">
        <v>2179.77161</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1463</v>
      </c>
      <c r="E32" s="16" t="n">
        <v>1412</v>
      </c>
      <c r="F32" s="16" t="n">
        <v>1500</v>
      </c>
      <c r="G32" s="16" t="n">
        <v>1567</v>
      </c>
      <c r="H32" s="17">
        <f>SUM(D32:G32)</f>
        <v/>
      </c>
      <c r="I32" s="15" t="n">
        <v>1652</v>
      </c>
      <c r="J32" s="16" t="n">
        <v>1633</v>
      </c>
      <c r="K32" s="16" t="n">
        <v>1763</v>
      </c>
      <c r="L32" s="16" t="n">
        <v>1853</v>
      </c>
      <c r="M32" s="17">
        <f>SUM(I32:L32)</f>
        <v/>
      </c>
      <c r="N32" s="15" t="n">
        <v>1957</v>
      </c>
      <c r="R32" s="13" t="n"/>
      <c r="S32" s="12" t="n"/>
    </row>
    <row r="33">
      <c r="B33" s="14" t="inlineStr">
        <is>
          <t>Consensus Revenue</t>
        </is>
      </c>
      <c r="D33" s="15" t="n">
        <v>1431.641508</v>
      </c>
      <c r="E33" s="16" t="n">
        <v>1400.613278</v>
      </c>
      <c r="F33" s="16" t="n">
        <v>1482.346113</v>
      </c>
      <c r="G33" s="16" t="n">
        <v>1562.099415</v>
      </c>
      <c r="H33" s="17">
        <f>SUM(D33:G33)</f>
        <v/>
      </c>
      <c r="I33" s="15" t="n">
        <v>1631.938634</v>
      </c>
      <c r="J33" s="16" t="n">
        <v>1606.667074</v>
      </c>
      <c r="K33" s="16" t="n">
        <v>1724.738445</v>
      </c>
      <c r="L33" s="16" t="n">
        <v>1807.16034</v>
      </c>
      <c r="M33" s="17">
        <f>SUM(I33:L33)</f>
        <v/>
      </c>
      <c r="N33" s="15" t="n">
        <v>1914.051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0.0204</v>
      </c>
      <c r="D37" s="12" t="n"/>
      <c r="H37" s="13" t="n"/>
      <c r="I37" s="12" t="n"/>
      <c r="M37" s="13" t="n"/>
      <c r="N37" s="12" t="n"/>
      <c r="R37" s="13" t="n"/>
      <c r="S37" s="12" t="n"/>
    </row>
    <row r="38">
      <c r="B38" s="2" t="inlineStr">
        <is>
          <t xml:space="preserve">   Trailing 8Q Avg Beat</t>
        </is>
      </c>
      <c r="C38" s="29" t="n">
        <v>0.0147</v>
      </c>
      <c r="D38" s="12" t="n"/>
      <c r="H38" s="13" t="n"/>
      <c r="I38" s="12" t="n"/>
      <c r="M38" s="13" t="n"/>
      <c r="N38" s="12" t="n"/>
      <c r="R38" s="13" t="n"/>
      <c r="S38" s="12" t="n"/>
    </row>
    <row r="39">
      <c r="B39" s="2" t="inlineStr">
        <is>
          <t xml:space="preserve">   Selected Beat Cadence</t>
        </is>
      </c>
      <c r="C39" s="30" t="n">
        <v>0.0204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APP: KIN Base Case Operating Model</t>
        </is>
      </c>
    </row>
    <row r="2">
      <c r="B2" s="2" t="inlineStr">
        <is>
          <t>USD in Millions Unless Stated Otherwise</t>
        </is>
      </c>
    </row>
    <row r="3">
      <c r="B3" s="6" t="inlineStr">
        <is>
          <t>Beat Cadence (%)</t>
        </is>
      </c>
      <c r="C3" s="7" t="n">
        <v>0.0445</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1058.115</v>
      </c>
      <c r="E9" s="16" t="n">
        <v>711.015</v>
      </c>
      <c r="F9" s="16" t="n">
        <v>835.186</v>
      </c>
      <c r="G9" s="16" t="n">
        <v>2104.932</v>
      </c>
      <c r="H9" s="17">
        <f>SUM(D9:G9)</f>
        <v/>
      </c>
      <c r="I9" s="15" t="n">
        <v>1484.021</v>
      </c>
      <c r="J9" s="16" t="n">
        <v>1258.754</v>
      </c>
      <c r="K9" s="16" t="n">
        <v>1405.045</v>
      </c>
      <c r="L9" s="16" t="n">
        <v>1332.897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524.99693</v>
      </c>
      <c r="O13" s="24" t="n">
        <v>-74.04507</v>
      </c>
      <c r="P13" s="24" t="n">
        <v>146.291</v>
      </c>
      <c r="Q13" s="24" t="n">
        <v>256.816279</v>
      </c>
      <c r="R13" s="13" t="n"/>
    </row>
    <row r="14">
      <c r="D14" s="12" t="n"/>
      <c r="H14" s="13" t="n"/>
      <c r="I14" s="12" t="n"/>
      <c r="M14" s="13" t="n"/>
      <c r="N14" s="12" t="n"/>
      <c r="R14" s="13" t="n"/>
    </row>
    <row r="15">
      <c r="B15" s="14" t="inlineStr">
        <is>
          <t>Consensus Total Revenue</t>
        </is>
      </c>
      <c r="D15" s="12" t="n"/>
      <c r="H15" s="13" t="n"/>
      <c r="I15" s="12" t="n"/>
      <c r="M15" s="13" t="n"/>
      <c r="N15" s="15" t="n">
        <v>1778.74</v>
      </c>
      <c r="P15" s="16" t="n">
        <v>2046.921367</v>
      </c>
      <c r="Q15" s="16" t="n">
        <v>2328.315873</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1058.115</v>
      </c>
      <c r="E32" s="16" t="n">
        <v>711.015</v>
      </c>
      <c r="F32" s="16" t="n">
        <v>835.186</v>
      </c>
      <c r="G32" s="16" t="n">
        <v>2104.932</v>
      </c>
      <c r="H32" s="17">
        <f>SUM(D32:G32)</f>
        <v/>
      </c>
      <c r="I32" s="15" t="n">
        <v>1484.021</v>
      </c>
      <c r="J32" s="16" t="n">
        <v>1258.754</v>
      </c>
      <c r="K32" s="16" t="n">
        <v>1405.045</v>
      </c>
      <c r="L32" s="16" t="n">
        <v>1332.897</v>
      </c>
      <c r="M32" s="17">
        <f>SUM(I32:L32)</f>
        <v/>
      </c>
      <c r="N32" s="12" t="n"/>
      <c r="R32" s="13" t="n"/>
    </row>
    <row r="33">
      <c r="B33" s="14" t="inlineStr">
        <is>
          <t>Consensus Revenue</t>
        </is>
      </c>
      <c r="D33" s="15" t="n">
        <v>973.696275</v>
      </c>
      <c r="E33" s="16" t="n">
        <v>1080.711209</v>
      </c>
      <c r="F33" s="16" t="n">
        <v>1131.432734</v>
      </c>
      <c r="G33" s="16" t="n">
        <v>1261.501671</v>
      </c>
      <c r="H33" s="17">
        <f>SUM(D33:G33)</f>
        <v/>
      </c>
      <c r="I33" s="15" t="n">
        <v>1381.048854</v>
      </c>
      <c r="J33" s="16" t="n">
        <v>1224.369137</v>
      </c>
      <c r="K33" s="16" t="n">
        <v>1342.172202</v>
      </c>
      <c r="L33" s="16" t="n">
        <v>1612.094</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26">
        <f>IFERROR((G32-G33)/G33,"-")</f>
        <v/>
      </c>
      <c r="H35" s="20">
        <f>IFERROR((H32-H33)/H33,"-")</f>
        <v/>
      </c>
      <c r="I35" s="28">
        <f>IFERROR((I32-I33)/I33,"-")</f>
        <v/>
      </c>
      <c r="J35" s="26">
        <f>IFERROR((J32-J33)/J33,"-")</f>
        <v/>
      </c>
      <c r="K35" s="26">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0.0445</v>
      </c>
      <c r="D37" s="12" t="n"/>
      <c r="H37" s="13" t="n"/>
      <c r="I37" s="12" t="n"/>
      <c r="M37" s="13" t="n"/>
      <c r="N37" s="12" t="n"/>
      <c r="R37" s="13" t="n"/>
    </row>
    <row r="38">
      <c r="B38" s="2" t="inlineStr">
        <is>
          <t xml:space="preserve">   Trailing 8Q Avg Beat</t>
        </is>
      </c>
      <c r="C38" s="29" t="n">
        <v>0.05139999999999999</v>
      </c>
      <c r="D38" s="12" t="n"/>
      <c r="H38" s="13" t="n"/>
      <c r="I38" s="12" t="n"/>
      <c r="M38" s="13" t="n"/>
      <c r="N38" s="12" t="n"/>
      <c r="R38" s="13" t="n"/>
    </row>
    <row r="39">
      <c r="B39" s="2" t="inlineStr">
        <is>
          <t xml:space="preserve">   Selected Beat Cadence</t>
        </is>
      </c>
      <c r="C39" s="30" t="n">
        <v>0.0445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FTNT: KIN Base Case Operating Model</t>
        </is>
      </c>
    </row>
    <row r="2">
      <c r="B2" s="2" t="inlineStr">
        <is>
          <t>USD in Millions Unless Stated Otherwise</t>
        </is>
      </c>
    </row>
    <row r="3">
      <c r="B3" s="6" t="inlineStr">
        <is>
          <t>Beat Cadence (%)</t>
        </is>
      </c>
      <c r="C3" s="7" t="n">
        <v>0.0101</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1353.3</v>
      </c>
      <c r="E9" s="16" t="n">
        <v>1434.3</v>
      </c>
      <c r="F9" s="16" t="n">
        <v>1508.1</v>
      </c>
      <c r="G9" s="16" t="n">
        <v>1660.1</v>
      </c>
      <c r="H9" s="17">
        <f>SUM(D9:G9)</f>
        <v/>
      </c>
      <c r="I9" s="15" t="n">
        <v>1539.7</v>
      </c>
      <c r="J9" s="16" t="n">
        <v>1630</v>
      </c>
      <c r="K9" s="16" t="n">
        <v>1724.9</v>
      </c>
      <c r="L9" s="16" t="n">
        <v>1905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-155.317911</v>
      </c>
      <c r="O13" s="24" t="n">
        <v>70.73524999999999</v>
      </c>
      <c r="P13" s="24" t="n">
        <v>97.747</v>
      </c>
      <c r="Q13" s="24" t="n">
        <v>185.503</v>
      </c>
      <c r="R13" s="13" t="n"/>
    </row>
    <row r="14">
      <c r="D14" s="12" t="n"/>
      <c r="H14" s="13" t="n"/>
      <c r="I14" s="12" t="n"/>
      <c r="M14" s="13" t="n"/>
      <c r="N14" s="12" t="n"/>
      <c r="R14" s="13" t="n"/>
    </row>
    <row r="15">
      <c r="B15" s="14" t="inlineStr">
        <is>
          <t>Consensus Total Revenue</t>
        </is>
      </c>
      <c r="D15" s="12" t="n"/>
      <c r="H15" s="13" t="n"/>
      <c r="I15" s="12" t="n"/>
      <c r="M15" s="13" t="n"/>
      <c r="N15" s="15" t="n">
        <v>1732.187</v>
      </c>
      <c r="P15" s="16" t="n">
        <v>1926.004667</v>
      </c>
      <c r="Q15" s="16" t="n">
        <v>2116.338188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1353.3</v>
      </c>
      <c r="E32" s="16" t="n">
        <v>1434.3</v>
      </c>
      <c r="F32" s="16" t="n">
        <v>1508.1</v>
      </c>
      <c r="G32" s="16" t="n">
        <v>1660.1</v>
      </c>
      <c r="H32" s="17">
        <f>SUM(D32:G32)</f>
        <v/>
      </c>
      <c r="I32" s="15" t="n">
        <v>1539.7</v>
      </c>
      <c r="J32" s="16" t="n">
        <v>1630</v>
      </c>
      <c r="K32" s="16" t="n">
        <v>1724.9</v>
      </c>
      <c r="L32" s="16" t="n">
        <v>1905</v>
      </c>
      <c r="M32" s="17">
        <f>SUM(I32:L32)</f>
        <v/>
      </c>
      <c r="N32" s="12" t="n"/>
      <c r="R32" s="13" t="n"/>
    </row>
    <row r="33">
      <c r="B33" s="14" t="inlineStr">
        <is>
          <t>Consensus Revenue</t>
        </is>
      </c>
      <c r="D33" s="15" t="n">
        <v>1338.062943</v>
      </c>
      <c r="E33" s="16" t="n">
        <v>1404.891079</v>
      </c>
      <c r="F33" s="16" t="n">
        <v>1479.698979</v>
      </c>
      <c r="G33" s="16" t="n">
        <v>1592.62579</v>
      </c>
      <c r="H33" s="17">
        <f>SUM(D33:G33)</f>
        <v/>
      </c>
      <c r="I33" s="15" t="n">
        <v>1538.489501</v>
      </c>
      <c r="J33" s="16" t="n">
        <v>1625.077101</v>
      </c>
      <c r="K33" s="16" t="n">
        <v>1704.258106</v>
      </c>
      <c r="L33" s="16" t="n">
        <v>1859.668</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0.0101</v>
      </c>
      <c r="D37" s="12" t="n"/>
      <c r="H37" s="13" t="n"/>
      <c r="I37" s="12" t="n"/>
      <c r="M37" s="13" t="n"/>
      <c r="N37" s="12" t="n"/>
      <c r="R37" s="13" t="n"/>
    </row>
    <row r="38">
      <c r="B38" s="2" t="inlineStr">
        <is>
          <t xml:space="preserve">   Trailing 8Q Avg Beat</t>
        </is>
      </c>
      <c r="C38" s="29" t="n">
        <v>0.0168</v>
      </c>
      <c r="D38" s="12" t="n"/>
      <c r="H38" s="13" t="n"/>
      <c r="I38" s="12" t="n"/>
      <c r="M38" s="13" t="n"/>
      <c r="N38" s="12" t="n"/>
      <c r="R38" s="13" t="n"/>
    </row>
    <row r="39">
      <c r="B39" s="2" t="inlineStr">
        <is>
          <t xml:space="preserve">   Selected Beat Cadence</t>
        </is>
      </c>
      <c r="C39" s="30" t="n">
        <v>0.0101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TEAM: KIN Base Case Operating Model</t>
        </is>
      </c>
    </row>
    <row r="2">
      <c r="B2" s="2" t="inlineStr">
        <is>
          <t>USD in Millions Unless Stated Otherwise</t>
        </is>
      </c>
    </row>
    <row r="3">
      <c r="B3" s="6" t="inlineStr">
        <is>
          <t>Beat Cadence (%)</t>
        </is>
      </c>
      <c r="C3" s="7" t="n">
        <v>0.0159</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1189.128</v>
      </c>
      <c r="E9" s="16" t="n">
        <v>1131.59</v>
      </c>
      <c r="F9" s="16" t="n">
        <v>1187.781</v>
      </c>
      <c r="G9" s="16" t="n">
        <v>1286.463</v>
      </c>
      <c r="H9" s="17">
        <f>SUM(D9:G9)</f>
        <v/>
      </c>
      <c r="I9" s="15" t="n">
        <v>1356.716</v>
      </c>
      <c r="J9" s="16" t="n">
        <v>1384.344</v>
      </c>
      <c r="K9" s="16" t="n">
        <v>1432.553</v>
      </c>
      <c r="L9" s="16" t="n">
        <v>1586.315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136.492916</v>
      </c>
      <c r="O13" s="24" t="n">
        <v>5.787649</v>
      </c>
      <c r="P13" s="24" t="n">
        <v>46.778395</v>
      </c>
      <c r="Q13" s="24" t="n">
        <v>158.37486</v>
      </c>
      <c r="R13" s="13" t="n"/>
    </row>
    <row r="14">
      <c r="D14" s="12" t="n"/>
      <c r="H14" s="13" t="n"/>
      <c r="I14" s="12" t="n"/>
      <c r="M14" s="13" t="n"/>
      <c r="N14" s="12" t="n"/>
      <c r="R14" s="13" t="n"/>
    </row>
    <row r="15">
      <c r="B15" s="14" t="inlineStr">
        <is>
          <t>Consensus Total Revenue</t>
        </is>
      </c>
      <c r="D15" s="12" t="n"/>
      <c r="H15" s="13" t="n"/>
      <c r="I15" s="12" t="n"/>
      <c r="M15" s="13" t="n"/>
      <c r="N15" s="15" t="n">
        <v>1695.843996</v>
      </c>
      <c r="O15" s="16" t="n">
        <v>1658.987794</v>
      </c>
      <c r="P15" s="16" t="n">
        <v>1705.05464</v>
      </c>
      <c r="Q15" s="16" t="n">
        <v>1854.014213</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1189.128</v>
      </c>
      <c r="E32" s="16" t="n">
        <v>1131.59</v>
      </c>
      <c r="F32" s="16" t="n">
        <v>1187.781</v>
      </c>
      <c r="G32" s="16" t="n">
        <v>1286.463</v>
      </c>
      <c r="H32" s="17">
        <f>SUM(D32:G32)</f>
        <v/>
      </c>
      <c r="I32" s="15" t="n">
        <v>1356.716</v>
      </c>
      <c r="J32" s="16" t="n">
        <v>1384.344</v>
      </c>
      <c r="K32" s="16" t="n">
        <v>1432.553</v>
      </c>
      <c r="L32" s="16" t="n">
        <v>1586.315</v>
      </c>
      <c r="M32" s="17">
        <f>SUM(I32:L32)</f>
        <v/>
      </c>
      <c r="N32" s="12" t="n"/>
      <c r="R32" s="13" t="n"/>
    </row>
    <row r="33">
      <c r="B33" s="14" t="inlineStr">
        <is>
          <t>Consensus Revenue</t>
        </is>
      </c>
      <c r="D33" s="15" t="n">
        <v>1097.713721</v>
      </c>
      <c r="E33" s="16" t="n">
        <v>1130.319581</v>
      </c>
      <c r="F33" s="16" t="n">
        <v>1155.366921</v>
      </c>
      <c r="G33" s="16" t="n">
        <v>1239.792702</v>
      </c>
      <c r="H33" s="17">
        <f>SUM(D33:G33)</f>
        <v/>
      </c>
      <c r="I33" s="15" t="n">
        <v>1353.198326</v>
      </c>
      <c r="J33" s="16" t="n">
        <v>1356.182498</v>
      </c>
      <c r="K33" s="16" t="n">
        <v>1402.189509</v>
      </c>
      <c r="L33" s="16" t="n">
        <v>1557.23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0.0159</v>
      </c>
      <c r="D37" s="12" t="n"/>
      <c r="H37" s="13" t="n"/>
      <c r="I37" s="12" t="n"/>
      <c r="M37" s="13" t="n"/>
      <c r="N37" s="12" t="n"/>
      <c r="R37" s="13" t="n"/>
    </row>
    <row r="38">
      <c r="B38" s="2" t="inlineStr">
        <is>
          <t xml:space="preserve">   Trailing 8Q Avg Beat</t>
        </is>
      </c>
      <c r="C38" s="29" t="n">
        <v>0.0267</v>
      </c>
      <c r="D38" s="12" t="n"/>
      <c r="H38" s="13" t="n"/>
      <c r="I38" s="12" t="n"/>
      <c r="M38" s="13" t="n"/>
      <c r="N38" s="12" t="n"/>
      <c r="R38" s="13" t="n"/>
    </row>
    <row r="39">
      <c r="B39" s="2" t="inlineStr">
        <is>
          <t xml:space="preserve">   Selected Beat Cadence</t>
        </is>
      </c>
      <c r="C39" s="30" t="n">
        <v>0.0159</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VEEV: KIN Base Case Operating Model</t>
        </is>
      </c>
    </row>
    <row r="2">
      <c r="B2" s="2" t="inlineStr">
        <is>
          <t>USD in Millions Unless Stated Otherwise</t>
        </is>
      </c>
    </row>
    <row r="3">
      <c r="B3" s="6" t="inlineStr">
        <is>
          <t>Beat Cadence (%)</t>
        </is>
      </c>
      <c r="C3" s="7" t="n">
        <v>0.0281</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630.6180000000001</v>
      </c>
      <c r="E9" s="16" t="n">
        <v>650.345</v>
      </c>
      <c r="F9" s="16" t="n">
        <v>676.181</v>
      </c>
      <c r="G9" s="16" t="n">
        <v>699.207</v>
      </c>
      <c r="H9" s="17">
        <f>SUM(D9:G9)</f>
        <v/>
      </c>
      <c r="I9" s="15" t="n">
        <v>720.886</v>
      </c>
      <c r="J9" s="16" t="n">
        <v>759.043</v>
      </c>
      <c r="K9" s="16" t="n">
        <v>789.081</v>
      </c>
      <c r="L9" s="16" t="n">
        <v>811.236</v>
      </c>
      <c r="M9" s="17">
        <f>SUM(I9:L9)</f>
        <v/>
      </c>
      <c r="N9" s="15" t="n">
        <v>835.951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45.912159</v>
      </c>
      <c r="P13" s="24" t="n">
        <v>30.038</v>
      </c>
      <c r="Q13" s="24" t="n">
        <v>23.495667</v>
      </c>
      <c r="R13" s="13" t="n"/>
      <c r="S13" s="25" t="n">
        <v>24.715</v>
      </c>
    </row>
    <row r="14">
      <c r="D14" s="12" t="n"/>
      <c r="H14" s="13" t="n"/>
      <c r="I14" s="12" t="n"/>
      <c r="M14" s="13" t="n"/>
      <c r="N14" s="12" t="n"/>
      <c r="R14" s="13" t="n"/>
      <c r="S14" s="12" t="n"/>
    </row>
    <row r="15">
      <c r="B15" s="14" t="inlineStr">
        <is>
          <t>Consensus Total Revenue</t>
        </is>
      </c>
      <c r="D15" s="12" t="n"/>
      <c r="H15" s="13" t="n"/>
      <c r="I15" s="12" t="n"/>
      <c r="M15" s="13" t="n"/>
      <c r="N15" s="12" t="n"/>
      <c r="O15" s="16" t="n">
        <v>857.7601</v>
      </c>
      <c r="Q15" s="16" t="n">
        <v>913.219863</v>
      </c>
      <c r="R15" s="13" t="n"/>
      <c r="S15" s="15" t="n">
        <v>940.569736</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630.6180000000001</v>
      </c>
      <c r="E32" s="16" t="n">
        <v>650.345</v>
      </c>
      <c r="F32" s="16" t="n">
        <v>676.181</v>
      </c>
      <c r="G32" s="16" t="n">
        <v>699.207</v>
      </c>
      <c r="H32" s="17">
        <f>SUM(D32:G32)</f>
        <v/>
      </c>
      <c r="I32" s="15" t="n">
        <v>720.886</v>
      </c>
      <c r="J32" s="16" t="n">
        <v>759.043</v>
      </c>
      <c r="K32" s="16" t="n">
        <v>789.081</v>
      </c>
      <c r="L32" s="16" t="n">
        <v>811.236</v>
      </c>
      <c r="M32" s="17">
        <f>SUM(I32:L32)</f>
        <v/>
      </c>
      <c r="N32" s="15" t="n">
        <v>835.951</v>
      </c>
      <c r="R32" s="13" t="n"/>
      <c r="S32" s="12" t="n"/>
    </row>
    <row r="33">
      <c r="B33" s="14" t="inlineStr">
        <is>
          <t>Consensus Revenue</t>
        </is>
      </c>
      <c r="D33" s="15" t="n">
        <v>621.108239</v>
      </c>
      <c r="E33" s="16" t="n">
        <v>642.050335</v>
      </c>
      <c r="F33" s="16" t="n">
        <v>667.830118</v>
      </c>
      <c r="G33" s="16" t="n">
        <v>684.37557</v>
      </c>
      <c r="H33" s="17">
        <f>SUM(D33:G33)</f>
        <v/>
      </c>
      <c r="I33" s="15" t="n">
        <v>699.233897</v>
      </c>
      <c r="K33" s="16" t="n">
        <v>768.445107</v>
      </c>
      <c r="L33" s="16" t="n">
        <v>792.791522</v>
      </c>
      <c r="M33" s="13" t="n"/>
      <c r="N33" s="15" t="n">
        <v>810.6717</v>
      </c>
      <c r="R33" s="13" t="n"/>
      <c r="S33" s="12" t="n"/>
    </row>
    <row r="34">
      <c r="B34" s="2" t="inlineStr">
        <is>
          <t xml:space="preserve">   Beat / Miss ($)</t>
        </is>
      </c>
      <c r="D34" s="21">
        <f>D32-D33</f>
        <v/>
      </c>
      <c r="E34" s="22">
        <f>E32-E33</f>
        <v/>
      </c>
      <c r="F34" s="22">
        <f>F32-F33</f>
        <v/>
      </c>
      <c r="G34" s="22">
        <f>G32-G33</f>
        <v/>
      </c>
      <c r="H34" s="23">
        <f>H32-H33</f>
        <v/>
      </c>
      <c r="I34" s="21">
        <f>I32-I33</f>
        <v/>
      </c>
      <c r="K34" s="22">
        <f>K32-K33</f>
        <v/>
      </c>
      <c r="L34" s="22">
        <f>L32-L33</f>
        <v/>
      </c>
      <c r="M34" s="13" t="n"/>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K35" s="26">
        <f>IFERROR((K32-K33)/K33,"-")</f>
        <v/>
      </c>
      <c r="L35" s="26">
        <f>IFERROR((L32-L33)/L33,"-")</f>
        <v/>
      </c>
      <c r="M35" s="13" t="n"/>
      <c r="N35" s="28">
        <f>IFERROR((N32-N33)/N33,"-")</f>
        <v/>
      </c>
      <c r="R35" s="13" t="n"/>
      <c r="S35" s="12" t="n"/>
    </row>
    <row r="36">
      <c r="D36" s="12" t="n"/>
      <c r="H36" s="13" t="n"/>
      <c r="I36" s="12" t="n"/>
      <c r="M36" s="13" t="n"/>
      <c r="N36" s="12" t="n"/>
      <c r="R36" s="13" t="n"/>
      <c r="S36" s="12" t="n"/>
    </row>
    <row r="37">
      <c r="B37" s="2" t="inlineStr">
        <is>
          <t xml:space="preserve">   Trailing 4Q Avg Beat</t>
        </is>
      </c>
      <c r="C37" s="29" t="n">
        <v>0.0281</v>
      </c>
      <c r="D37" s="12" t="n"/>
      <c r="H37" s="13" t="n"/>
      <c r="I37" s="12" t="n"/>
      <c r="M37" s="13" t="n"/>
      <c r="N37" s="12" t="n"/>
      <c r="R37" s="13" t="n"/>
      <c r="S37" s="12" t="n"/>
    </row>
    <row r="38">
      <c r="B38" s="2" t="inlineStr">
        <is>
          <t xml:space="preserve">   Trailing 8Q Avg Beat</t>
        </is>
      </c>
      <c r="C38" s="29" t="n">
        <v>0.0238</v>
      </c>
      <c r="D38" s="12" t="n"/>
      <c r="H38" s="13" t="n"/>
      <c r="I38" s="12" t="n"/>
      <c r="M38" s="13" t="n"/>
      <c r="N38" s="12" t="n"/>
      <c r="R38" s="13" t="n"/>
      <c r="S38" s="12" t="n"/>
    </row>
    <row r="39">
      <c r="B39" s="2" t="inlineStr">
        <is>
          <t xml:space="preserve">   Selected Beat Cadence</t>
        </is>
      </c>
      <c r="C39" s="30" t="n">
        <v>0.0281</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ROP: KIN Base Case Operating Model</t>
        </is>
      </c>
    </row>
    <row r="2">
      <c r="B2" s="2" t="inlineStr">
        <is>
          <t>USD in Millions Unless Stated Otherwise</t>
        </is>
      </c>
    </row>
    <row r="3">
      <c r="B3" s="6" t="inlineStr">
        <is>
          <t>Beat Cadence (%)</t>
        </is>
      </c>
      <c r="C3" s="7" t="n">
        <v>-0.0012</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1680.7</v>
      </c>
      <c r="E9" s="16" t="n">
        <v>1716.8</v>
      </c>
      <c r="F9" s="16" t="n">
        <v>1764.6</v>
      </c>
      <c r="G9" s="16" t="n">
        <v>1877.1</v>
      </c>
      <c r="H9" s="17">
        <f>SUM(D9:G9)</f>
        <v/>
      </c>
      <c r="I9" s="15" t="n">
        <v>1882.8</v>
      </c>
      <c r="J9" s="16" t="n">
        <v>1943.6</v>
      </c>
      <c r="K9" s="16" t="n">
        <v>2017.5</v>
      </c>
      <c r="L9" s="16" t="n">
        <v>2058.6</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3.09799</v>
      </c>
      <c r="O13" s="24" t="n">
        <v>17.096953</v>
      </c>
      <c r="P13" s="24" t="n">
        <v>31.728869</v>
      </c>
      <c r="Q13" s="24" t="n">
        <v>13.568067</v>
      </c>
      <c r="R13" s="13" t="n"/>
    </row>
    <row r="14">
      <c r="D14" s="12" t="n"/>
      <c r="H14" s="13" t="n"/>
      <c r="I14" s="12" t="n"/>
      <c r="M14" s="13" t="n"/>
      <c r="N14" s="12" t="n"/>
      <c r="R14" s="13" t="n"/>
    </row>
    <row r="15">
      <c r="B15" s="14" t="inlineStr">
        <is>
          <t>Consensus Total Revenue</t>
        </is>
      </c>
      <c r="D15" s="12" t="n"/>
      <c r="H15" s="13" t="n"/>
      <c r="I15" s="12" t="n"/>
      <c r="M15" s="13" t="n"/>
      <c r="N15" s="15" t="n">
        <v>2064.175</v>
      </c>
      <c r="P15" s="16" t="n">
        <v>2161.565444</v>
      </c>
      <c r="Q15" s="16" t="n">
        <v>2193.211688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1680.7</v>
      </c>
      <c r="E32" s="16" t="n">
        <v>1716.8</v>
      </c>
      <c r="F32" s="16" t="n">
        <v>1764.6</v>
      </c>
      <c r="G32" s="16" t="n">
        <v>1877.1</v>
      </c>
      <c r="H32" s="17">
        <f>SUM(D32:G32)</f>
        <v/>
      </c>
      <c r="I32" s="15" t="n">
        <v>1882.8</v>
      </c>
      <c r="J32" s="16" t="n">
        <v>1943.6</v>
      </c>
      <c r="K32" s="16" t="n">
        <v>2017.5</v>
      </c>
      <c r="L32" s="16" t="n">
        <v>2058.6</v>
      </c>
      <c r="M32" s="17">
        <f>SUM(I32:L32)</f>
        <v/>
      </c>
      <c r="N32" s="12" t="n"/>
      <c r="R32" s="13" t="n"/>
    </row>
    <row r="33">
      <c r="B33" s="14" t="inlineStr">
        <is>
          <t>Consensus Revenue</t>
        </is>
      </c>
      <c r="D33" s="15" t="n">
        <v>1657.83535</v>
      </c>
      <c r="E33" s="16" t="n">
        <v>1732.1335</v>
      </c>
      <c r="F33" s="16" t="n">
        <v>1723.710782</v>
      </c>
      <c r="G33" s="16" t="n">
        <v>1837.026458</v>
      </c>
      <c r="H33" s="17">
        <f>SUM(D33:G33)</f>
        <v/>
      </c>
      <c r="I33" s="15" t="n">
        <v>1881.732231</v>
      </c>
      <c r="J33" s="16" t="n">
        <v>1927.820929</v>
      </c>
      <c r="K33" s="16" t="n">
        <v>2023.85964</v>
      </c>
      <c r="L33" s="16" t="n">
        <v>2080.616</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26">
        <f>IFERROR((F32-F33)/F33,"-")</f>
        <v/>
      </c>
      <c r="G35" s="26">
        <f>IFERROR((G32-G33)/G33,"-")</f>
        <v/>
      </c>
      <c r="H35" s="20">
        <f>IFERROR((H32-H33)/H33,"-")</f>
        <v/>
      </c>
      <c r="I35" s="28">
        <f>IFERROR((I32-I33)/I33,"-")</f>
        <v/>
      </c>
      <c r="J35" s="26">
        <f>IFERROR((J32-J33)/J33,"-")</f>
        <v/>
      </c>
      <c r="K35" s="31">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-0.0012</v>
      </c>
      <c r="D37" s="12" t="n"/>
      <c r="H37" s="13" t="n"/>
      <c r="I37" s="12" t="n"/>
      <c r="M37" s="13" t="n"/>
      <c r="N37" s="12" t="n"/>
      <c r="R37" s="13" t="n"/>
    </row>
    <row r="38">
      <c r="B38" s="2" t="inlineStr">
        <is>
          <t xml:space="preserve">   Trailing 8Q Avg Beat</t>
        </is>
      </c>
      <c r="C38" s="29" t="n">
        <v>0.005699999999999999</v>
      </c>
      <c r="D38" s="12" t="n"/>
      <c r="H38" s="13" t="n"/>
      <c r="I38" s="12" t="n"/>
      <c r="M38" s="13" t="n"/>
      <c r="N38" s="12" t="n"/>
      <c r="R38" s="13" t="n"/>
    </row>
    <row r="39">
      <c r="B39" s="2" t="inlineStr">
        <is>
          <t xml:space="preserve">   Selected Beat Cadence</t>
        </is>
      </c>
      <c r="C39" s="30" t="n">
        <v>-0.0012</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PLTR: KIN Base Case Operating Model</t>
        </is>
      </c>
    </row>
    <row r="2">
      <c r="B2" s="2" t="inlineStr">
        <is>
          <t>USD in Millions Unless Stated Otherwise</t>
        </is>
      </c>
    </row>
    <row r="3">
      <c r="B3" s="6" t="inlineStr">
        <is>
          <t>Beat Cadence (%)</t>
        </is>
      </c>
      <c r="C3" s="7" t="n">
        <v>0.0566</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634.338</v>
      </c>
      <c r="E9" s="16" t="n">
        <v>678.134</v>
      </c>
      <c r="F9" s="16" t="n">
        <v>725.516</v>
      </c>
      <c r="G9" s="16" t="n">
        <v>827.519</v>
      </c>
      <c r="H9" s="17">
        <f>SUM(D9:G9)</f>
        <v/>
      </c>
      <c r="I9" s="15" t="n">
        <v>883.855</v>
      </c>
      <c r="J9" s="16" t="n">
        <v>1003.697</v>
      </c>
      <c r="K9" s="16" t="n">
        <v>1181.092</v>
      </c>
      <c r="L9" s="16" t="n">
        <v>1406.802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218.648195</v>
      </c>
      <c r="O13" s="24" t="n">
        <v>127.140378</v>
      </c>
      <c r="P13" s="24" t="n">
        <v>188.198356</v>
      </c>
      <c r="Q13" s="24" t="n">
        <v>239.455739</v>
      </c>
      <c r="R13" s="13" t="n"/>
    </row>
    <row r="14">
      <c r="D14" s="12" t="n"/>
      <c r="H14" s="13" t="n"/>
      <c r="I14" s="12" t="n"/>
      <c r="M14" s="13" t="n"/>
      <c r="N14" s="12" t="n"/>
      <c r="R14" s="13" t="n"/>
    </row>
    <row r="15">
      <c r="B15" s="14" t="inlineStr">
        <is>
          <t>Consensus Total Revenue</t>
        </is>
      </c>
      <c r="D15" s="12" t="n"/>
      <c r="H15" s="13" t="n"/>
      <c r="I15" s="12" t="n"/>
      <c r="M15" s="13" t="n"/>
      <c r="N15" s="15" t="n">
        <v>1538.378</v>
      </c>
      <c r="P15" s="16" t="n">
        <v>1883.74194</v>
      </c>
      <c r="Q15" s="16" t="n">
        <v>2163.134238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634.338</v>
      </c>
      <c r="E32" s="16" t="n">
        <v>678.134</v>
      </c>
      <c r="F32" s="16" t="n">
        <v>725.516</v>
      </c>
      <c r="G32" s="16" t="n">
        <v>827.519</v>
      </c>
      <c r="H32" s="17">
        <f>SUM(D32:G32)</f>
        <v/>
      </c>
      <c r="I32" s="15" t="n">
        <v>883.855</v>
      </c>
      <c r="J32" s="16" t="n">
        <v>1003.697</v>
      </c>
      <c r="K32" s="16" t="n">
        <v>1181.092</v>
      </c>
      <c r="L32" s="16" t="n">
        <v>1406.802</v>
      </c>
      <c r="M32" s="17">
        <f>SUM(I32:L32)</f>
        <v/>
      </c>
      <c r="N32" s="12" t="n"/>
      <c r="R32" s="13" t="n"/>
    </row>
    <row r="33">
      <c r="B33" s="14" t="inlineStr">
        <is>
          <t>Consensus Revenue</t>
        </is>
      </c>
      <c r="D33" s="15" t="n">
        <v>615.396074</v>
      </c>
      <c r="E33" s="16" t="n">
        <v>653.22905</v>
      </c>
      <c r="F33" s="16" t="n">
        <v>705.111871</v>
      </c>
      <c r="G33" s="16" t="n">
        <v>869.27338</v>
      </c>
      <c r="H33" s="17">
        <f>SUM(D33:G33)</f>
        <v/>
      </c>
      <c r="I33" s="15" t="n">
        <v>862.173813</v>
      </c>
      <c r="J33" s="16" t="n">
        <v>937.698232</v>
      </c>
      <c r="K33" s="16" t="n">
        <v>1091.837803</v>
      </c>
      <c r="L33" s="16" t="n">
        <v>1341.029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0.0566</v>
      </c>
      <c r="D37" s="12" t="n"/>
      <c r="H37" s="13" t="n"/>
      <c r="I37" s="12" t="n"/>
      <c r="M37" s="13" t="n"/>
      <c r="N37" s="12" t="n"/>
      <c r="R37" s="13" t="n"/>
    </row>
    <row r="38">
      <c r="B38" s="2" t="inlineStr">
        <is>
          <t xml:space="preserve">   Trailing 8Q Avg Beat</t>
        </is>
      </c>
      <c r="C38" s="29" t="n">
        <v>0.0345</v>
      </c>
      <c r="D38" s="12" t="n"/>
      <c r="H38" s="13" t="n"/>
      <c r="I38" s="12" t="n"/>
      <c r="M38" s="13" t="n"/>
      <c r="N38" s="12" t="n"/>
      <c r="R38" s="13" t="n"/>
    </row>
    <row r="39">
      <c r="B39" s="2" t="inlineStr">
        <is>
          <t xml:space="preserve">   Selected Beat Cadence</t>
        </is>
      </c>
      <c r="C39" s="30" t="n">
        <v>0.0566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HUBS: KIN Base Case Operating Model</t>
        </is>
      </c>
    </row>
    <row r="2">
      <c r="B2" s="2" t="inlineStr">
        <is>
          <t>USD in Millions Unless Stated Otherwise</t>
        </is>
      </c>
    </row>
    <row r="3">
      <c r="B3" s="6" t="inlineStr">
        <is>
          <t>Beat Cadence (%)</t>
        </is>
      </c>
      <c r="C3" s="7" t="n">
        <v>0.0238</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617.414</v>
      </c>
      <c r="E9" s="16" t="n">
        <v>637.23</v>
      </c>
      <c r="F9" s="16" t="n">
        <v>669.721</v>
      </c>
      <c r="G9" s="16" t="n">
        <v>703.178</v>
      </c>
      <c r="H9" s="17">
        <f>SUM(D9:G9)</f>
        <v/>
      </c>
      <c r="I9" s="15" t="n">
        <v>714.1369999999999</v>
      </c>
      <c r="J9" s="16" t="n">
        <v>760.866</v>
      </c>
      <c r="K9" s="16" t="n">
        <v>809.518</v>
      </c>
      <c r="L9" s="16" t="n">
        <v>846.723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37.16183</v>
      </c>
      <c r="O13" s="24" t="n">
        <v>25.531053</v>
      </c>
      <c r="P13" s="24" t="n">
        <v>48.652</v>
      </c>
      <c r="Q13" s="24" t="n">
        <v>37.205</v>
      </c>
      <c r="R13" s="13" t="n"/>
    </row>
    <row r="14">
      <c r="D14" s="12" t="n"/>
      <c r="H14" s="13" t="n"/>
      <c r="I14" s="12" t="n"/>
      <c r="M14" s="13" t="n"/>
      <c r="N14" s="12" t="n"/>
      <c r="R14" s="13" t="n"/>
    </row>
    <row r="15">
      <c r="B15" s="14" t="inlineStr">
        <is>
          <t>Consensus Total Revenue</t>
        </is>
      </c>
      <c r="D15" s="12" t="n"/>
      <c r="H15" s="13" t="n"/>
      <c r="I15" s="12" t="n"/>
      <c r="M15" s="13" t="n"/>
      <c r="N15" s="15" t="n">
        <v>863.3374</v>
      </c>
      <c r="P15" s="16" t="n">
        <v>947.5682420000001</v>
      </c>
      <c r="Q15" s="16" t="n">
        <v>989.105592</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617.414</v>
      </c>
      <c r="E32" s="16" t="n">
        <v>637.23</v>
      </c>
      <c r="F32" s="16" t="n">
        <v>669.721</v>
      </c>
      <c r="G32" s="16" t="n">
        <v>703.178</v>
      </c>
      <c r="H32" s="17">
        <f>SUM(D32:G32)</f>
        <v/>
      </c>
      <c r="I32" s="15" t="n">
        <v>714.1369999999999</v>
      </c>
      <c r="J32" s="16" t="n">
        <v>760.866</v>
      </c>
      <c r="K32" s="16" t="n">
        <v>809.518</v>
      </c>
      <c r="L32" s="16" t="n">
        <v>846.723</v>
      </c>
      <c r="M32" s="17">
        <f>SUM(I32:L32)</f>
        <v/>
      </c>
      <c r="N32" s="12" t="n"/>
      <c r="R32" s="13" t="n"/>
    </row>
    <row r="33">
      <c r="B33" s="14" t="inlineStr">
        <is>
          <t>Consensus Revenue</t>
        </is>
      </c>
      <c r="D33" s="15" t="n">
        <v>597.981955</v>
      </c>
      <c r="E33" s="16" t="n">
        <v>619.279957</v>
      </c>
      <c r="F33" s="16" t="n">
        <v>646.97138</v>
      </c>
      <c r="G33" s="16" t="n">
        <v>673.290123</v>
      </c>
      <c r="H33" s="17">
        <f>SUM(D33:G33)</f>
        <v/>
      </c>
      <c r="I33" s="15" t="n">
        <v>700.940304</v>
      </c>
      <c r="J33" s="16" t="n">
        <v>739.859772</v>
      </c>
      <c r="K33" s="16" t="n">
        <v>786.5957560000001</v>
      </c>
      <c r="L33" s="16" t="n">
        <v>830.9059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0.0238</v>
      </c>
      <c r="D37" s="12" t="n"/>
      <c r="H37" s="13" t="n"/>
      <c r="I37" s="12" t="n"/>
      <c r="M37" s="13" t="n"/>
      <c r="N37" s="12" t="n"/>
      <c r="R37" s="13" t="n"/>
    </row>
    <row r="38">
      <c r="B38" s="2" t="inlineStr">
        <is>
          <t xml:space="preserve">   Trailing 8Q Avg Beat</t>
        </is>
      </c>
      <c r="C38" s="29" t="n">
        <v>0.0296</v>
      </c>
      <c r="D38" s="12" t="n"/>
      <c r="H38" s="13" t="n"/>
      <c r="I38" s="12" t="n"/>
      <c r="M38" s="13" t="n"/>
      <c r="N38" s="12" t="n"/>
      <c r="R38" s="13" t="n"/>
    </row>
    <row r="39">
      <c r="B39" s="2" t="inlineStr">
        <is>
          <t xml:space="preserve">   Selected Beat Cadence</t>
        </is>
      </c>
      <c r="C39" s="30" t="n">
        <v>0.0238</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ZS: KIN Base Case Operating Model</t>
        </is>
      </c>
    </row>
    <row r="2">
      <c r="B2" s="2" t="inlineStr">
        <is>
          <t>USD in Millions Unless Stated Otherwise</t>
        </is>
      </c>
    </row>
    <row r="3">
      <c r="B3" s="6" t="inlineStr">
        <is>
          <t>Beat Cadence (%)</t>
        </is>
      </c>
      <c r="C3" s="7" t="n">
        <v>0.019</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524.999</v>
      </c>
      <c r="E9" s="16" t="n">
        <v>553.201</v>
      </c>
      <c r="F9" s="16" t="n">
        <v>592.8680000000001</v>
      </c>
      <c r="G9" s="16" t="n">
        <v>627.955</v>
      </c>
      <c r="H9" s="17">
        <f>SUM(D9:G9)</f>
        <v/>
      </c>
      <c r="I9" s="15" t="n">
        <v>647.9</v>
      </c>
      <c r="J9" s="16" t="n">
        <v>678.034</v>
      </c>
      <c r="K9" s="16" t="n">
        <v>719.226</v>
      </c>
      <c r="L9" s="16" t="n">
        <v>788.112</v>
      </c>
      <c r="M9" s="17">
        <f>SUM(I9:L9)</f>
        <v/>
      </c>
      <c r="N9" s="15" t="n">
        <v>815.751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35.677813</v>
      </c>
      <c r="P13" s="24" t="n">
        <v>37.89664</v>
      </c>
      <c r="Q13" s="24" t="n">
        <v>68.886</v>
      </c>
      <c r="R13" s="13" t="n"/>
      <c r="S13" s="25" t="n">
        <v>22.811045</v>
      </c>
    </row>
    <row r="14">
      <c r="D14" s="12" t="n"/>
      <c r="H14" s="13" t="n"/>
      <c r="I14" s="12" t="n"/>
      <c r="M14" s="13" t="n"/>
      <c r="N14" s="12" t="n"/>
      <c r="R14" s="13" t="n"/>
      <c r="S14" s="12" t="n"/>
    </row>
    <row r="15">
      <c r="B15" s="14" t="inlineStr">
        <is>
          <t>Consensus Total Revenue</t>
        </is>
      </c>
      <c r="D15" s="12" t="n"/>
      <c r="H15" s="13" t="n"/>
      <c r="I15" s="12" t="n"/>
      <c r="M15" s="13" t="n"/>
      <c r="N15" s="12" t="n"/>
      <c r="O15" s="16" t="n">
        <v>835.5533</v>
      </c>
      <c r="R15" s="13" t="n"/>
      <c r="S15" s="12" t="n"/>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2" t="n"/>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12" t="n"/>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R21" s="20">
        <f>IFERROR((R9-R15)/R15,"-")</f>
        <v/>
      </c>
      <c r="S21" s="12" t="n"/>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524.999</v>
      </c>
      <c r="E32" s="16" t="n">
        <v>553.201</v>
      </c>
      <c r="F32" s="16" t="n">
        <v>592.8680000000001</v>
      </c>
      <c r="G32" s="16" t="n">
        <v>627.955</v>
      </c>
      <c r="H32" s="17">
        <f>SUM(D32:G32)</f>
        <v/>
      </c>
      <c r="I32" s="15" t="n">
        <v>647.9</v>
      </c>
      <c r="J32" s="16" t="n">
        <v>678.034</v>
      </c>
      <c r="K32" s="16" t="n">
        <v>719.226</v>
      </c>
      <c r="L32" s="16" t="n">
        <v>788.112</v>
      </c>
      <c r="M32" s="17">
        <f>SUM(I32:L32)</f>
        <v/>
      </c>
      <c r="N32" s="15" t="n">
        <v>815.751</v>
      </c>
      <c r="R32" s="13" t="n"/>
      <c r="S32" s="12" t="n"/>
    </row>
    <row r="33">
      <c r="B33" s="14" t="inlineStr">
        <is>
          <t>Consensus Revenue</t>
        </is>
      </c>
      <c r="D33" s="15" t="n">
        <v>507.624497</v>
      </c>
      <c r="E33" s="16" t="n">
        <v>536.116455</v>
      </c>
      <c r="F33" s="16" t="n">
        <v>567.464678</v>
      </c>
      <c r="G33" s="16" t="n">
        <v>605.5129020000001</v>
      </c>
      <c r="H33" s="17">
        <f>SUM(D33:G33)</f>
        <v/>
      </c>
      <c r="I33" s="15" t="n">
        <v>634.377784</v>
      </c>
      <c r="J33" s="16" t="n">
        <v>666.455996</v>
      </c>
      <c r="K33" s="16" t="n">
        <v>706.943399</v>
      </c>
      <c r="L33" s="16" t="n">
        <v>773.283192</v>
      </c>
      <c r="M33" s="17">
        <f>SUM(I33:L33)</f>
        <v/>
      </c>
      <c r="N33" s="15" t="n">
        <v>798.3348</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0.019</v>
      </c>
      <c r="D37" s="12" t="n"/>
      <c r="H37" s="13" t="n"/>
      <c r="I37" s="12" t="n"/>
      <c r="M37" s="13" t="n"/>
      <c r="N37" s="12" t="n"/>
      <c r="R37" s="13" t="n"/>
      <c r="S37" s="12" t="n"/>
    </row>
    <row r="38">
      <c r="B38" s="2" t="inlineStr">
        <is>
          <t xml:space="preserve">   Trailing 8Q Avg Beat</t>
        </is>
      </c>
      <c r="C38" s="29" t="n">
        <v>0.0264</v>
      </c>
      <c r="D38" s="12" t="n"/>
      <c r="H38" s="13" t="n"/>
      <c r="I38" s="12" t="n"/>
      <c r="M38" s="13" t="n"/>
      <c r="N38" s="12" t="n"/>
      <c r="R38" s="13" t="n"/>
      <c r="S38" s="12" t="n"/>
    </row>
    <row r="39">
      <c r="B39" s="2" t="inlineStr">
        <is>
          <t xml:space="preserve">   Selected Beat Cadence</t>
        </is>
      </c>
      <c r="C39" s="30" t="n">
        <v>0.019</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CRWD: KIN Base Case Operating Model</t>
        </is>
      </c>
    </row>
    <row r="2">
      <c r="B2" s="2" t="inlineStr">
        <is>
          <t>USD in Millions Unless Stated Otherwise</t>
        </is>
      </c>
    </row>
    <row r="3">
      <c r="B3" s="6" t="inlineStr">
        <is>
          <t>Beat Cadence (%)</t>
        </is>
      </c>
      <c r="C3" s="7" t="n">
        <v>0.009399999999999999</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845.335</v>
      </c>
      <c r="E9" s="16" t="n">
        <v>921.0359999999999</v>
      </c>
      <c r="F9" s="16" t="n">
        <v>963.872</v>
      </c>
      <c r="G9" s="16" t="n">
        <v>1010.178</v>
      </c>
      <c r="H9" s="17">
        <f>SUM(D9:G9)</f>
        <v/>
      </c>
      <c r="I9" s="15" t="n">
        <v>1058.538</v>
      </c>
      <c r="J9" s="16" t="n">
        <v>1103.434</v>
      </c>
      <c r="K9" s="16" t="n">
        <v>1168.952</v>
      </c>
      <c r="L9" s="16" t="n">
        <v>1234.244</v>
      </c>
      <c r="M9" s="17">
        <f>SUM(I9:L9)</f>
        <v/>
      </c>
      <c r="N9" s="15" t="n">
        <v>1305.375</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70.37966400000001</v>
      </c>
      <c r="P13" s="24" t="n">
        <v>67.48354</v>
      </c>
      <c r="Q13" s="24" t="n">
        <v>65.292</v>
      </c>
      <c r="R13" s="13" t="n"/>
      <c r="S13" s="25" t="n">
        <v>71.131</v>
      </c>
    </row>
    <row r="14">
      <c r="D14" s="12" t="n"/>
      <c r="H14" s="13" t="n"/>
      <c r="I14" s="12" t="n"/>
      <c r="M14" s="13" t="n"/>
      <c r="N14" s="12" t="n"/>
      <c r="R14" s="13" t="n"/>
      <c r="S14" s="12" t="n"/>
    </row>
    <row r="15">
      <c r="B15" s="14" t="inlineStr">
        <is>
          <t>Consensus Total Revenue</t>
        </is>
      </c>
      <c r="D15" s="12" t="n"/>
      <c r="H15" s="13" t="n"/>
      <c r="I15" s="12" t="n"/>
      <c r="M15" s="13" t="n"/>
      <c r="N15" s="12" t="n"/>
      <c r="O15" s="16" t="n">
        <v>1362.943</v>
      </c>
      <c r="Q15" s="16" t="n">
        <v>1511.314205</v>
      </c>
      <c r="R15" s="13" t="n"/>
      <c r="S15" s="15" t="n">
        <v>1598.930318</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845.335</v>
      </c>
      <c r="E32" s="16" t="n">
        <v>921.0359999999999</v>
      </c>
      <c r="F32" s="16" t="n">
        <v>963.872</v>
      </c>
      <c r="G32" s="16" t="n">
        <v>1010.178</v>
      </c>
      <c r="H32" s="17">
        <f>SUM(D32:G32)</f>
        <v/>
      </c>
      <c r="I32" s="15" t="n">
        <v>1058.538</v>
      </c>
      <c r="J32" s="16" t="n">
        <v>1103.434</v>
      </c>
      <c r="K32" s="16" t="n">
        <v>1168.952</v>
      </c>
      <c r="L32" s="16" t="n">
        <v>1234.244</v>
      </c>
      <c r="M32" s="17">
        <f>SUM(I32:L32)</f>
        <v/>
      </c>
      <c r="N32" s="15" t="n">
        <v>1305.375</v>
      </c>
      <c r="R32" s="13" t="n"/>
      <c r="S32" s="12" t="n"/>
    </row>
    <row r="33">
      <c r="B33" s="14" t="inlineStr">
        <is>
          <t>Consensus Revenue</t>
        </is>
      </c>
      <c r="D33" s="15" t="n">
        <v>839.125165</v>
      </c>
      <c r="E33" s="16" t="n">
        <v>904.562868</v>
      </c>
      <c r="F33" s="16" t="n">
        <v>960.02792</v>
      </c>
      <c r="G33" s="16" t="n">
        <v>982.798405</v>
      </c>
      <c r="H33" s="17">
        <f>SUM(D33:G33)</f>
        <v/>
      </c>
      <c r="I33" s="15" t="n">
        <v>1034.841901</v>
      </c>
      <c r="J33" s="16" t="n">
        <v>1104.640779</v>
      </c>
      <c r="K33" s="16" t="n">
        <v>1150.391148</v>
      </c>
      <c r="L33" s="16" t="n">
        <v>1214.238168</v>
      </c>
      <c r="M33" s="17">
        <f>SUM(I33:L33)</f>
        <v/>
      </c>
      <c r="N33" s="15" t="n">
        <v>1297.483</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31">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0.009399999999999999</v>
      </c>
      <c r="D37" s="12" t="n"/>
      <c r="H37" s="13" t="n"/>
      <c r="I37" s="12" t="n"/>
      <c r="M37" s="13" t="n"/>
      <c r="N37" s="12" t="n"/>
      <c r="R37" s="13" t="n"/>
      <c r="S37" s="12" t="n"/>
    </row>
    <row r="38">
      <c r="B38" s="2" t="inlineStr">
        <is>
          <t xml:space="preserve">   Trailing 8Q Avg Beat</t>
        </is>
      </c>
      <c r="C38" s="29" t="n">
        <v>0.0138</v>
      </c>
      <c r="D38" s="12" t="n"/>
      <c r="H38" s="13" t="n"/>
      <c r="I38" s="12" t="n"/>
      <c r="M38" s="13" t="n"/>
      <c r="N38" s="12" t="n"/>
      <c r="R38" s="13" t="n"/>
      <c r="S38" s="12" t="n"/>
    </row>
    <row r="39">
      <c r="B39" s="2" t="inlineStr">
        <is>
          <t xml:space="preserve">   Selected Beat Cadence</t>
        </is>
      </c>
      <c r="C39" s="30" t="n">
        <v>0.009399999999999999</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OKTA: KIN Base Case Operating Model</t>
        </is>
      </c>
    </row>
    <row r="2">
      <c r="B2" s="2" t="inlineStr">
        <is>
          <t>USD in Millions Unless Stated Otherwise</t>
        </is>
      </c>
    </row>
    <row r="3">
      <c r="B3" s="6" t="inlineStr">
        <is>
          <t>Beat Cadence (%)</t>
        </is>
      </c>
      <c r="C3" s="7" t="n">
        <v>0.0187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605</v>
      </c>
      <c r="E9" s="16" t="n">
        <v>617</v>
      </c>
      <c r="F9" s="16" t="n">
        <v>646</v>
      </c>
      <c r="G9" s="16" t="n">
        <v>665</v>
      </c>
      <c r="H9" s="17">
        <f>SUM(D9:G9)</f>
        <v/>
      </c>
      <c r="I9" s="15" t="n">
        <v>682</v>
      </c>
      <c r="J9" s="16" t="n">
        <v>688</v>
      </c>
      <c r="K9" s="16" t="n">
        <v>728</v>
      </c>
      <c r="L9" s="16" t="n">
        <v>742</v>
      </c>
      <c r="M9" s="17">
        <f>SUM(I9:L9)</f>
        <v/>
      </c>
      <c r="N9" s="15" t="n">
        <v>761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5.101314</v>
      </c>
      <c r="P13" s="24" t="n">
        <v>40</v>
      </c>
      <c r="Q13" s="24" t="n">
        <v>21.103203</v>
      </c>
      <c r="R13" s="13" t="n"/>
      <c r="S13" s="25" t="n">
        <v>21.0945</v>
      </c>
    </row>
    <row r="14">
      <c r="D14" s="12" t="n"/>
      <c r="H14" s="13" t="n"/>
      <c r="I14" s="12" t="n"/>
      <c r="M14" s="13" t="n"/>
      <c r="N14" s="12" t="n"/>
      <c r="R14" s="13" t="n"/>
      <c r="S14" s="12" t="n"/>
    </row>
    <row r="15">
      <c r="B15" s="14" t="inlineStr">
        <is>
          <t>Consensus Total Revenue</t>
        </is>
      </c>
      <c r="D15" s="12" t="n"/>
      <c r="H15" s="13" t="n"/>
      <c r="I15" s="12" t="n"/>
      <c r="M15" s="13" t="n"/>
      <c r="N15" s="12" t="n"/>
      <c r="O15" s="16" t="n">
        <v>752.0382</v>
      </c>
      <c r="Q15" s="16" t="n">
        <v>808.0453649999999</v>
      </c>
      <c r="R15" s="13" t="n"/>
      <c r="S15" s="15" t="n">
        <v>832.586413</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605</v>
      </c>
      <c r="E32" s="16" t="n">
        <v>617</v>
      </c>
      <c r="F32" s="16" t="n">
        <v>646</v>
      </c>
      <c r="G32" s="16" t="n">
        <v>665</v>
      </c>
      <c r="H32" s="17">
        <f>SUM(D32:G32)</f>
        <v/>
      </c>
      <c r="I32" s="15" t="n">
        <v>682</v>
      </c>
      <c r="J32" s="16" t="n">
        <v>688</v>
      </c>
      <c r="K32" s="16" t="n">
        <v>728</v>
      </c>
      <c r="L32" s="16" t="n">
        <v>742</v>
      </c>
      <c r="M32" s="17">
        <f>SUM(I32:L32)</f>
        <v/>
      </c>
      <c r="N32" s="15" t="n">
        <v>761</v>
      </c>
      <c r="R32" s="13" t="n"/>
      <c r="S32" s="12" t="n"/>
    </row>
    <row r="33">
      <c r="B33" s="14" t="inlineStr">
        <is>
          <t>Consensus Revenue</t>
        </is>
      </c>
      <c r="D33" s="15" t="n">
        <v>587.195466</v>
      </c>
      <c r="E33" s="16" t="n">
        <v>604.3479129999999</v>
      </c>
      <c r="F33" s="16" t="n">
        <v>632.601477</v>
      </c>
      <c r="G33" s="16" t="n">
        <v>649.738357</v>
      </c>
      <c r="H33" s="17">
        <f>SUM(D33:G33)</f>
        <v/>
      </c>
      <c r="I33" s="15" t="n">
        <v>668.914968</v>
      </c>
      <c r="J33" s="16" t="n">
        <v>680.276536</v>
      </c>
      <c r="K33" s="16" t="n">
        <v>712.26333</v>
      </c>
      <c r="L33" s="16" t="n">
        <v>730.821764</v>
      </c>
      <c r="M33" s="17">
        <f>SUM(I33:L33)</f>
        <v/>
      </c>
      <c r="N33" s="15" t="n">
        <v>749.5245</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0.016</v>
      </c>
      <c r="D37" s="12" t="n"/>
      <c r="H37" s="13" t="n"/>
      <c r="I37" s="12" t="n"/>
      <c r="M37" s="13" t="n"/>
      <c r="N37" s="12" t="n"/>
      <c r="R37" s="13" t="n"/>
      <c r="S37" s="12" t="n"/>
    </row>
    <row r="38">
      <c r="B38" s="2" t="inlineStr">
        <is>
          <t xml:space="preserve">   Trailing 8Q Avg Beat</t>
        </is>
      </c>
      <c r="C38" s="29" t="n">
        <v>0.0187</v>
      </c>
      <c r="D38" s="12" t="n"/>
      <c r="H38" s="13" t="n"/>
      <c r="I38" s="12" t="n"/>
      <c r="M38" s="13" t="n"/>
      <c r="N38" s="12" t="n"/>
      <c r="R38" s="13" t="n"/>
      <c r="S38" s="12" t="n"/>
    </row>
    <row r="39">
      <c r="B39" s="2" t="inlineStr">
        <is>
          <t xml:space="preserve">   Selected Beat Cadence</t>
        </is>
      </c>
      <c r="C39" s="30" t="n">
        <v>0.0187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TTD: KIN Base Case Operating Model</t>
        </is>
      </c>
    </row>
    <row r="2">
      <c r="B2" s="2" t="inlineStr">
        <is>
          <t>USD in Millions Unless Stated Otherwise</t>
        </is>
      </c>
    </row>
    <row r="3">
      <c r="B3" s="6" t="inlineStr">
        <is>
          <t>Beat Cadence (%)</t>
        </is>
      </c>
      <c r="C3" s="7" t="n">
        <v>0.0178</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491.253</v>
      </c>
      <c r="E9" s="16" t="n">
        <v>584.55</v>
      </c>
      <c r="F9" s="16" t="n">
        <v>628.016</v>
      </c>
      <c r="G9" s="16" t="n">
        <v>741.0119999999999</v>
      </c>
      <c r="H9" s="17">
        <f>SUM(D9:G9)</f>
        <v/>
      </c>
      <c r="I9" s="15" t="n">
        <v>616.021</v>
      </c>
      <c r="J9" s="16" t="n">
        <v>694.039</v>
      </c>
      <c r="K9" s="16" t="n">
        <v>739.433</v>
      </c>
      <c r="L9" s="16" t="n">
        <v>846.7910000000001</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-155.831313</v>
      </c>
      <c r="O13" s="24" t="n">
        <v>71.77656</v>
      </c>
      <c r="P13" s="24" t="n">
        <v>33.611779</v>
      </c>
      <c r="Q13" s="24" t="n">
        <v>98.76936000000001</v>
      </c>
      <c r="R13" s="13" t="n"/>
    </row>
    <row r="14">
      <c r="D14" s="12" t="n"/>
      <c r="H14" s="13" t="n"/>
      <c r="I14" s="12" t="n"/>
      <c r="M14" s="13" t="n"/>
      <c r="N14" s="12" t="n"/>
      <c r="R14" s="13" t="n"/>
    </row>
    <row r="15">
      <c r="B15" s="14" t="inlineStr">
        <is>
          <t>Consensus Total Revenue</t>
        </is>
      </c>
      <c r="D15" s="12" t="n"/>
      <c r="H15" s="13" t="n"/>
      <c r="I15" s="12" t="n"/>
      <c r="M15" s="13" t="n"/>
      <c r="N15" s="15" t="n">
        <v>678.8757000000001</v>
      </c>
      <c r="P15" s="16" t="n">
        <v>838.44064</v>
      </c>
      <c r="Q15" s="16" t="n">
        <v>977.6640159999999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491.253</v>
      </c>
      <c r="E32" s="16" t="n">
        <v>584.55</v>
      </c>
      <c r="F32" s="16" t="n">
        <v>628.016</v>
      </c>
      <c r="G32" s="16" t="n">
        <v>741.0119999999999</v>
      </c>
      <c r="H32" s="17">
        <f>SUM(D32:G32)</f>
        <v/>
      </c>
      <c r="I32" s="15" t="n">
        <v>616.021</v>
      </c>
      <c r="J32" s="16" t="n">
        <v>694.039</v>
      </c>
      <c r="K32" s="16" t="n">
        <v>739.433</v>
      </c>
      <c r="L32" s="16" t="n">
        <v>846.7910000000001</v>
      </c>
      <c r="M32" s="17">
        <f>SUM(I32:L32)</f>
        <v/>
      </c>
      <c r="N32" s="12" t="n"/>
      <c r="R32" s="13" t="n"/>
    </row>
    <row r="33">
      <c r="B33" s="14" t="inlineStr">
        <is>
          <t>Consensus Revenue</t>
        </is>
      </c>
      <c r="D33" s="15" t="n">
        <v>480.13542</v>
      </c>
      <c r="E33" s="16" t="n">
        <v>578.029625</v>
      </c>
      <c r="F33" s="16" t="n">
        <v>620.160851</v>
      </c>
      <c r="G33" s="16" t="n">
        <v>758.938677</v>
      </c>
      <c r="H33" s="17">
        <f>SUM(D33:G33)</f>
        <v/>
      </c>
      <c r="I33" s="15" t="n">
        <v>575.311727</v>
      </c>
      <c r="J33" s="16" t="n">
        <v>685.467361</v>
      </c>
      <c r="K33" s="16" t="n">
        <v>719.042199</v>
      </c>
      <c r="L33" s="16" t="n">
        <v>840.6347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0.0298</v>
      </c>
      <c r="D37" s="12" t="n"/>
      <c r="H37" s="13" t="n"/>
      <c r="I37" s="12" t="n"/>
      <c r="M37" s="13" t="n"/>
      <c r="N37" s="12" t="n"/>
      <c r="R37" s="13" t="n"/>
    </row>
    <row r="38">
      <c r="B38" s="2" t="inlineStr">
        <is>
          <t xml:space="preserve">   Trailing 8Q Avg Beat</t>
        </is>
      </c>
      <c r="C38" s="29" t="n">
        <v>0.0178</v>
      </c>
      <c r="D38" s="12" t="n"/>
      <c r="H38" s="13" t="n"/>
      <c r="I38" s="12" t="n"/>
      <c r="M38" s="13" t="n"/>
      <c r="N38" s="12" t="n"/>
      <c r="R38" s="13" t="n"/>
    </row>
    <row r="39">
      <c r="B39" s="2" t="inlineStr">
        <is>
          <t xml:space="preserve">   Selected Beat Cadence</t>
        </is>
      </c>
      <c r="C39" s="30" t="n">
        <v>0.0178</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GTLB: KIN Base Case Operating Model</t>
        </is>
      </c>
    </row>
    <row r="2">
      <c r="B2" s="2" t="inlineStr">
        <is>
          <t>USD in Millions Unless Stated Otherwise</t>
        </is>
      </c>
    </row>
    <row r="3">
      <c r="B3" s="6" t="inlineStr">
        <is>
          <t>Beat Cadence (%)</t>
        </is>
      </c>
      <c r="C3" s="7" t="n">
        <v>0.0277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163.779</v>
      </c>
      <c r="E9" s="16" t="n">
        <v>169.187</v>
      </c>
      <c r="F9" s="16" t="n">
        <v>182.584</v>
      </c>
      <c r="G9" s="16" t="n">
        <v>196.047</v>
      </c>
      <c r="H9" s="17">
        <f>SUM(D9:G9)</f>
        <v/>
      </c>
      <c r="I9" s="15" t="n">
        <v>211.431</v>
      </c>
      <c r="J9" s="16" t="n">
        <v>214.509</v>
      </c>
      <c r="K9" s="16" t="n">
        <v>235.96</v>
      </c>
      <c r="L9" s="16" t="n">
        <v>244.353</v>
      </c>
      <c r="M9" s="17">
        <f>SUM(I9:L9)</f>
        <v/>
      </c>
      <c r="N9" s="15" t="n">
        <v>262</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-0.410886</v>
      </c>
      <c r="P13" s="24" t="n">
        <v>22.09453</v>
      </c>
      <c r="Q13" s="24" t="n">
        <v>8.393000000000001</v>
      </c>
      <c r="R13" s="13" t="n"/>
      <c r="S13" s="25" t="n">
        <v>17.647</v>
      </c>
    </row>
    <row r="14">
      <c r="D14" s="12" t="n"/>
      <c r="H14" s="13" t="n"/>
      <c r="I14" s="12" t="n"/>
      <c r="M14" s="13" t="n"/>
      <c r="N14" s="12" t="n"/>
      <c r="R14" s="13" t="n"/>
      <c r="S14" s="12" t="n"/>
    </row>
    <row r="15">
      <c r="B15" s="14" t="inlineStr">
        <is>
          <t>Consensus Total Revenue</t>
        </is>
      </c>
      <c r="D15" s="12" t="n"/>
      <c r="H15" s="13" t="n"/>
      <c r="I15" s="12" t="n"/>
      <c r="M15" s="13" t="n"/>
      <c r="N15" s="12" t="n"/>
      <c r="O15" s="16" t="n">
        <v>254.5384</v>
      </c>
      <c r="Q15" s="16" t="n">
        <v>282.690683</v>
      </c>
      <c r="R15" s="13" t="n"/>
      <c r="S15" s="15" t="n">
        <v>300.622805</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163.779</v>
      </c>
      <c r="E32" s="16" t="n">
        <v>169.187</v>
      </c>
      <c r="F32" s="16" t="n">
        <v>182.584</v>
      </c>
      <c r="G32" s="16" t="n">
        <v>196.047</v>
      </c>
      <c r="H32" s="17">
        <f>SUM(D32:G32)</f>
        <v/>
      </c>
      <c r="I32" s="15" t="n">
        <v>211.431</v>
      </c>
      <c r="J32" s="16" t="n">
        <v>214.509</v>
      </c>
      <c r="K32" s="16" t="n">
        <v>235.96</v>
      </c>
      <c r="L32" s="16" t="n">
        <v>244.353</v>
      </c>
      <c r="M32" s="17">
        <f>SUM(I32:L32)</f>
        <v/>
      </c>
      <c r="N32" s="15" t="n">
        <v>262</v>
      </c>
      <c r="R32" s="13" t="n"/>
      <c r="S32" s="12" t="n"/>
    </row>
    <row r="33">
      <c r="B33" s="14" t="inlineStr">
        <is>
          <t>Consensus Revenue</t>
        </is>
      </c>
      <c r="D33" s="15" t="n">
        <v>165.89</v>
      </c>
      <c r="E33" s="16" t="n">
        <v>165.888961</v>
      </c>
      <c r="F33" s="16" t="n">
        <v>176.855671</v>
      </c>
      <c r="G33" s="16" t="n">
        <v>187.924683</v>
      </c>
      <c r="H33" s="17">
        <f>SUM(D33:G33)</f>
        <v/>
      </c>
      <c r="I33" s="15" t="n">
        <v>206.165187</v>
      </c>
      <c r="J33" s="16" t="n">
        <v>212.961087</v>
      </c>
      <c r="K33" s="16" t="n">
        <v>226.896535</v>
      </c>
      <c r="L33" s="16" t="n">
        <v>239.318689</v>
      </c>
      <c r="M33" s="17">
        <f>SUM(I33:L33)</f>
        <v/>
      </c>
      <c r="N33" s="15" t="n">
        <v>252.2325</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0.0252</v>
      </c>
      <c r="D37" s="12" t="n"/>
      <c r="H37" s="13" t="n"/>
      <c r="I37" s="12" t="n"/>
      <c r="M37" s="13" t="n"/>
      <c r="N37" s="12" t="n"/>
      <c r="R37" s="13" t="n"/>
      <c r="S37" s="12" t="n"/>
    </row>
    <row r="38">
      <c r="B38" s="2" t="inlineStr">
        <is>
          <t xml:space="preserve">   Trailing 8Q Avg Beat</t>
        </is>
      </c>
      <c r="C38" s="29" t="n">
        <v>0.0277</v>
      </c>
      <c r="D38" s="12" t="n"/>
      <c r="H38" s="13" t="n"/>
      <c r="I38" s="12" t="n"/>
      <c r="M38" s="13" t="n"/>
      <c r="N38" s="12" t="n"/>
      <c r="R38" s="13" t="n"/>
      <c r="S38" s="12" t="n"/>
    </row>
    <row r="39">
      <c r="B39" s="2" t="inlineStr">
        <is>
          <t xml:space="preserve">   Selected Beat Cadence</t>
        </is>
      </c>
      <c r="C39" s="30" t="n">
        <v>0.0277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BILL: KIN Base Case Operating Model</t>
        </is>
      </c>
    </row>
    <row r="2">
      <c r="B2" s="2" t="inlineStr">
        <is>
          <t>USD in Millions Unless Stated Otherwise</t>
        </is>
      </c>
    </row>
    <row r="3">
      <c r="B3" s="6" t="inlineStr">
        <is>
          <t>Beat Cadence (%)</t>
        </is>
      </c>
      <c r="C3" s="7" t="n">
        <v>0.008</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323.028</v>
      </c>
      <c r="E9" s="16" t="n">
        <v>343.664</v>
      </c>
      <c r="F9" s="16" t="n">
        <v>358.45</v>
      </c>
      <c r="G9" s="16" t="n">
        <v>362.554</v>
      </c>
      <c r="H9" s="17">
        <f>SUM(D9:G9)</f>
        <v/>
      </c>
      <c r="I9" s="15" t="n">
        <v>358.217</v>
      </c>
      <c r="J9" s="16" t="n">
        <v>383.349</v>
      </c>
      <c r="K9" s="16" t="n">
        <v>395.741</v>
      </c>
      <c r="L9" s="16" t="n">
        <v>414.671</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-7.962984</v>
      </c>
      <c r="O13" s="24" t="n">
        <v>20.183101</v>
      </c>
      <c r="P13" s="24" t="n">
        <v>16.284979</v>
      </c>
      <c r="Q13" s="24" t="n">
        <v>15.804099</v>
      </c>
      <c r="R13" s="13" t="n"/>
    </row>
    <row r="14">
      <c r="D14" s="12" t="n"/>
      <c r="H14" s="13" t="n"/>
      <c r="I14" s="12" t="n"/>
      <c r="M14" s="13" t="n"/>
      <c r="N14" s="12" t="n"/>
      <c r="R14" s="13" t="n"/>
    </row>
    <row r="15">
      <c r="B15" s="14" t="inlineStr">
        <is>
          <t>Consensus Total Revenue</t>
        </is>
      </c>
      <c r="D15" s="12" t="n"/>
      <c r="H15" s="13" t="n"/>
      <c r="I15" s="12" t="n"/>
      <c r="M15" s="13" t="n"/>
      <c r="N15" s="15" t="n">
        <v>403.480175</v>
      </c>
      <c r="O15" s="16" t="n">
        <v>429.291566</v>
      </c>
      <c r="P15" s="16" t="n">
        <v>442.437611</v>
      </c>
      <c r="Q15" s="16" t="n">
        <v>461.192118</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31">
        <f>IFERROR((O9-O15)/O15,"-")</f>
        <v/>
      </c>
      <c r="P21" s="26">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323.028</v>
      </c>
      <c r="E32" s="16" t="n">
        <v>343.664</v>
      </c>
      <c r="F32" s="16" t="n">
        <v>358.45</v>
      </c>
      <c r="G32" s="16" t="n">
        <v>362.554</v>
      </c>
      <c r="H32" s="17">
        <f>SUM(D32:G32)</f>
        <v/>
      </c>
      <c r="I32" s="15" t="n">
        <v>358.217</v>
      </c>
      <c r="J32" s="16" t="n">
        <v>383.349</v>
      </c>
      <c r="K32" s="16" t="n">
        <v>395.741</v>
      </c>
      <c r="L32" s="16" t="n">
        <v>414.671</v>
      </c>
      <c r="M32" s="17">
        <f>SUM(I32:L32)</f>
        <v/>
      </c>
      <c r="N32" s="12" t="n"/>
      <c r="R32" s="13" t="n"/>
    </row>
    <row r="33">
      <c r="B33" s="14" t="inlineStr">
        <is>
          <t>Consensus Revenue</t>
        </is>
      </c>
      <c r="D33" s="15" t="n">
        <v>325.39</v>
      </c>
      <c r="E33" s="16" t="n">
        <v>325.78</v>
      </c>
      <c r="F33" s="16" t="n">
        <v>347.003224</v>
      </c>
      <c r="G33" s="16" t="n">
        <v>359.99011</v>
      </c>
      <c r="H33" s="17">
        <f>SUM(D33:G33)</f>
        <v/>
      </c>
      <c r="I33" s="15" t="n">
        <v>375.8939</v>
      </c>
      <c r="J33" s="16" t="n">
        <v>392.61759</v>
      </c>
      <c r="K33" s="16" t="n">
        <v>391.809085</v>
      </c>
      <c r="L33" s="16" t="n">
        <v>399.7759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26">
        <f>IFERROR((E32-E33)/E33,"-")</f>
        <v/>
      </c>
      <c r="F35" s="26">
        <f>IFERROR((F32-F33)/F33,"-")</f>
        <v/>
      </c>
      <c r="G35" s="26">
        <f>IFERROR((G32-G33)/G33,"-")</f>
        <v/>
      </c>
      <c r="H35" s="20">
        <f>IFERROR((H32-H33)/H33,"-")</f>
        <v/>
      </c>
      <c r="I35" s="27">
        <f>IFERROR((I32-I33)/I33,"-")</f>
        <v/>
      </c>
      <c r="J35" s="31">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-0.0058</v>
      </c>
      <c r="D37" s="12" t="n"/>
      <c r="H37" s="13" t="n"/>
      <c r="I37" s="12" t="n"/>
      <c r="M37" s="13" t="n"/>
      <c r="N37" s="12" t="n"/>
      <c r="R37" s="13" t="n"/>
    </row>
    <row r="38">
      <c r="B38" s="2" t="inlineStr">
        <is>
          <t xml:space="preserve">   Trailing 8Q Avg Beat</t>
        </is>
      </c>
      <c r="C38" s="29" t="n">
        <v>0.008</v>
      </c>
      <c r="D38" s="12" t="n"/>
      <c r="H38" s="13" t="n"/>
      <c r="I38" s="12" t="n"/>
      <c r="M38" s="13" t="n"/>
      <c r="N38" s="12" t="n"/>
      <c r="R38" s="13" t="n"/>
    </row>
    <row r="39">
      <c r="B39" s="2" t="inlineStr">
        <is>
          <t xml:space="preserve">   Selected Beat Cadence</t>
        </is>
      </c>
      <c r="C39" s="30" t="n">
        <v>0.008</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MNDY: KIN Base Case Operating Model</t>
        </is>
      </c>
    </row>
    <row r="2">
      <c r="B2" s="2" t="inlineStr">
        <is>
          <t>USD in Millions Unless Stated Otherwise</t>
        </is>
      </c>
    </row>
    <row r="3">
      <c r="B3" s="6" t="inlineStr">
        <is>
          <t>Beat Cadence (%)</t>
        </is>
      </c>
      <c r="C3" s="7" t="n">
        <v>0.0166</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216.913</v>
      </c>
      <c r="E9" s="16" t="n">
        <v>236.106</v>
      </c>
      <c r="F9" s="16" t="n">
        <v>251</v>
      </c>
      <c r="G9" s="16" t="n">
        <v>267.976</v>
      </c>
      <c r="H9" s="17">
        <f>SUM(D9:G9)</f>
        <v/>
      </c>
      <c r="I9" s="15" t="n">
        <v>282.25</v>
      </c>
      <c r="J9" s="16" t="n">
        <v>299.014</v>
      </c>
      <c r="K9" s="16" t="n">
        <v>316.855</v>
      </c>
      <c r="L9" s="16" t="n">
        <v>333.878</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11.063123</v>
      </c>
      <c r="O13" s="24" t="n">
        <v>16.764</v>
      </c>
      <c r="P13" s="24" t="n">
        <v>18.37623</v>
      </c>
      <c r="Q13" s="24" t="n">
        <v>17.023</v>
      </c>
      <c r="R13" s="13" t="n"/>
    </row>
    <row r="14">
      <c r="D14" s="12" t="n"/>
      <c r="H14" s="13" t="n"/>
      <c r="I14" s="12" t="n"/>
      <c r="M14" s="13" t="n"/>
      <c r="N14" s="12" t="n"/>
      <c r="R14" s="13" t="n"/>
    </row>
    <row r="15">
      <c r="B15" s="14" t="inlineStr">
        <is>
          <t>Consensus Total Revenue</t>
        </is>
      </c>
      <c r="D15" s="12" t="n"/>
      <c r="H15" s="13" t="n"/>
      <c r="I15" s="12" t="n"/>
      <c r="M15" s="13" t="n"/>
      <c r="N15" s="15" t="n">
        <v>339.3086</v>
      </c>
      <c r="P15" s="16" t="n">
        <v>373.049956</v>
      </c>
      <c r="Q15" s="16" t="n">
        <v>391.498159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216.913</v>
      </c>
      <c r="E32" s="16" t="n">
        <v>236.106</v>
      </c>
      <c r="F32" s="16" t="n">
        <v>251</v>
      </c>
      <c r="G32" s="16" t="n">
        <v>267.976</v>
      </c>
      <c r="H32" s="17">
        <f>SUM(D32:G32)</f>
        <v/>
      </c>
      <c r="I32" s="15" t="n">
        <v>282.25</v>
      </c>
      <c r="J32" s="16" t="n">
        <v>299.014</v>
      </c>
      <c r="K32" s="16" t="n">
        <v>316.855</v>
      </c>
      <c r="L32" s="16" t="n">
        <v>333.878</v>
      </c>
      <c r="M32" s="17">
        <f>SUM(I32:L32)</f>
        <v/>
      </c>
      <c r="N32" s="12" t="n"/>
      <c r="R32" s="13" t="n"/>
    </row>
    <row r="33">
      <c r="B33" s="14" t="inlineStr">
        <is>
          <t>Consensus Revenue</t>
        </is>
      </c>
      <c r="D33" s="15" t="n">
        <v>210.545354</v>
      </c>
      <c r="E33" s="16" t="n">
        <v>229.031114</v>
      </c>
      <c r="F33" s="16" t="n">
        <v>261.28</v>
      </c>
      <c r="G33" s="16" t="n">
        <v>275.57559</v>
      </c>
      <c r="H33" s="17">
        <f>SUM(D33:G33)</f>
        <v/>
      </c>
      <c r="I33" s="15" t="n">
        <v>275.840976</v>
      </c>
      <c r="J33" s="16" t="n">
        <v>293.561211</v>
      </c>
      <c r="K33" s="16" t="n">
        <v>313.177033</v>
      </c>
      <c r="L33" s="16" t="n">
        <v>329.6657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0.0166</v>
      </c>
      <c r="D37" s="12" t="n"/>
      <c r="H37" s="13" t="n"/>
      <c r="I37" s="12" t="n"/>
      <c r="M37" s="13" t="n"/>
      <c r="N37" s="12" t="n"/>
      <c r="R37" s="13" t="n"/>
    </row>
    <row r="38">
      <c r="B38" s="2" t="inlineStr">
        <is>
          <t xml:space="preserve">   Trailing 8Q Avg Beat</t>
        </is>
      </c>
      <c r="C38" s="29" t="n">
        <v>0.0076</v>
      </c>
      <c r="D38" s="12" t="n"/>
      <c r="H38" s="13" t="n"/>
      <c r="I38" s="12" t="n"/>
      <c r="M38" s="13" t="n"/>
      <c r="N38" s="12" t="n"/>
      <c r="R38" s="13" t="n"/>
    </row>
    <row r="39">
      <c r="B39" s="2" t="inlineStr">
        <is>
          <t xml:space="preserve">   Selected Beat Cadence</t>
        </is>
      </c>
      <c r="C39" s="30" t="n">
        <v>0.0166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CFLT: KIN Base Case Operating Model</t>
        </is>
      </c>
    </row>
    <row r="2">
      <c r="B2" s="2" t="inlineStr">
        <is>
          <t>USD in Millions Unless Stated Otherwise</t>
        </is>
      </c>
    </row>
    <row r="3">
      <c r="B3" s="6" t="inlineStr">
        <is>
          <t>Beat Cadence (%)</t>
        </is>
      </c>
      <c r="C3" s="7" t="n">
        <v>0.0026</v>
      </c>
    </row>
    <row r="4">
      <c r="B4" s="6" t="inlineStr">
        <is>
          <t>Beat Window</t>
        </is>
      </c>
      <c r="C4" s="9" t="inlineStr">
        <is>
          <t>8Q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217.237</v>
      </c>
      <c r="E9" s="16" t="n">
        <v>234.986</v>
      </c>
      <c r="F9" s="16" t="n">
        <v>250.199</v>
      </c>
      <c r="G9" s="16" t="n">
        <v>261.22</v>
      </c>
      <c r="H9" s="17">
        <f>SUM(D9:G9)</f>
        <v/>
      </c>
      <c r="I9" s="15" t="n">
        <v>271.12</v>
      </c>
      <c r="J9" s="16" t="n">
        <v>282.285</v>
      </c>
      <c r="K9" s="16" t="n">
        <v>298.524</v>
      </c>
      <c r="L9" s="16" t="n">
        <v>314.819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11.463557</v>
      </c>
      <c r="O13" s="24" t="n">
        <v>11.49995</v>
      </c>
      <c r="P13" s="24" t="n">
        <v>16.72617</v>
      </c>
      <c r="Q13" s="24" t="n">
        <v>16.56446</v>
      </c>
      <c r="R13" s="13" t="n"/>
    </row>
    <row r="14">
      <c r="D14" s="12" t="n"/>
      <c r="H14" s="13" t="n"/>
      <c r="I14" s="12" t="n"/>
      <c r="M14" s="13" t="n"/>
      <c r="N14" s="12" t="n"/>
      <c r="R14" s="13" t="n"/>
    </row>
    <row r="15">
      <c r="B15" s="14" t="inlineStr">
        <is>
          <t>Consensus Total Revenue</t>
        </is>
      </c>
      <c r="D15" s="12" t="n"/>
      <c r="H15" s="13" t="n"/>
      <c r="I15" s="12" t="n"/>
      <c r="M15" s="13" t="n"/>
      <c r="N15" s="12" t="n"/>
      <c r="Q15" s="16" t="n">
        <v>364.994298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R19" s="13" t="n"/>
    </row>
    <row r="20">
      <c r="D20" s="12" t="n"/>
      <c r="H20" s="13" t="n"/>
      <c r="I20" s="12" t="n"/>
      <c r="M20" s="13" t="n"/>
      <c r="N20" s="12" t="n"/>
      <c r="R20" s="13" t="n"/>
    </row>
    <row r="21">
      <c r="B21" s="2" t="inlineStr">
        <is>
          <t xml:space="preserve">   % Variance vs Consensus</t>
        </is>
      </c>
      <c r="D21" s="12" t="n"/>
      <c r="H21" s="13" t="n"/>
      <c r="I21" s="12" t="n"/>
      <c r="M21" s="13" t="n"/>
      <c r="N21" s="12" t="n"/>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217.237</v>
      </c>
      <c r="E32" s="16" t="n">
        <v>234.986</v>
      </c>
      <c r="F32" s="16" t="n">
        <v>250.199</v>
      </c>
      <c r="G32" s="16" t="n">
        <v>261.22</v>
      </c>
      <c r="H32" s="17">
        <f>SUM(D32:G32)</f>
        <v/>
      </c>
      <c r="I32" s="15" t="n">
        <v>271.12</v>
      </c>
      <c r="J32" s="16" t="n">
        <v>282.285</v>
      </c>
      <c r="K32" s="16" t="n">
        <v>298.524</v>
      </c>
      <c r="L32" s="16" t="n">
        <v>314.819</v>
      </c>
      <c r="M32" s="17">
        <f>SUM(I32:L32)</f>
        <v/>
      </c>
      <c r="N32" s="12" t="n"/>
      <c r="R32" s="13" t="n"/>
    </row>
    <row r="33">
      <c r="B33" s="14" t="inlineStr">
        <is>
          <t>Consensus Revenue</t>
        </is>
      </c>
      <c r="D33" s="15" t="n">
        <v>211.588144</v>
      </c>
      <c r="E33" s="16" t="n">
        <v>230.02</v>
      </c>
      <c r="F33" s="16" t="n">
        <v>256.8</v>
      </c>
      <c r="G33" s="16" t="n">
        <v>256.8794</v>
      </c>
      <c r="H33" s="17">
        <f>SUM(D33:G33)</f>
        <v/>
      </c>
      <c r="I33" s="15" t="n">
        <v>264.39168</v>
      </c>
      <c r="J33" s="16" t="n">
        <v>292.70726</v>
      </c>
      <c r="K33" s="16" t="n">
        <v>308.04953</v>
      </c>
      <c r="L33" s="16" t="n">
        <v>308.034</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-0.0048</v>
      </c>
      <c r="D37" s="12" t="n"/>
      <c r="H37" s="13" t="n"/>
      <c r="I37" s="12" t="n"/>
      <c r="M37" s="13" t="n"/>
      <c r="N37" s="12" t="n"/>
      <c r="R37" s="13" t="n"/>
    </row>
    <row r="38">
      <c r="B38" s="2" t="inlineStr">
        <is>
          <t xml:space="preserve">   Trailing 8Q Avg Beat</t>
        </is>
      </c>
      <c r="C38" s="29" t="n">
        <v>0.0026</v>
      </c>
      <c r="D38" s="12" t="n"/>
      <c r="H38" s="13" t="n"/>
      <c r="I38" s="12" t="n"/>
      <c r="M38" s="13" t="n"/>
      <c r="N38" s="12" t="n"/>
      <c r="R38" s="13" t="n"/>
    </row>
    <row r="39">
      <c r="B39" s="2" t="inlineStr">
        <is>
          <t xml:space="preserve">   Selected Beat Cadence</t>
        </is>
      </c>
      <c r="C39" s="30" t="n">
        <v>0.0026</v>
      </c>
      <c r="D39" s="12" t="n"/>
      <c r="H39" s="13" t="n"/>
      <c r="I39" s="12" t="n"/>
      <c r="M39" s="13" t="n"/>
      <c r="N39" s="12" t="n"/>
      <c r="R39" s="13"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ESTC: KIN Base Case Operating Model</t>
        </is>
      </c>
    </row>
    <row r="2">
      <c r="B2" s="2" t="inlineStr">
        <is>
          <t>USD in Millions Unless Stated Otherwise</t>
        </is>
      </c>
    </row>
    <row r="3">
      <c r="B3" s="6" t="inlineStr">
        <is>
          <t>Beat Cadence (%)</t>
        </is>
      </c>
      <c r="C3" s="7" t="n">
        <v>0.0244</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327.957</v>
      </c>
      <c r="E9" s="16" t="n">
        <v>334.999</v>
      </c>
      <c r="F9" s="16" t="n">
        <v>347.42</v>
      </c>
      <c r="G9" s="16" t="n">
        <v>365.361</v>
      </c>
      <c r="H9" s="17">
        <f>SUM(D9:G9)</f>
        <v/>
      </c>
      <c r="I9" s="15" t="n">
        <v>382.083</v>
      </c>
      <c r="J9" s="16" t="n">
        <v>388.432</v>
      </c>
      <c r="K9" s="16" t="n">
        <v>415.288</v>
      </c>
      <c r="L9" s="16" t="n">
        <v>423.481</v>
      </c>
      <c r="M9" s="17">
        <f>SUM(I9:L9)</f>
        <v/>
      </c>
      <c r="N9" s="15" t="n">
        <v>449.881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7.505888</v>
      </c>
      <c r="P13" s="24" t="n">
        <v>14.452357</v>
      </c>
      <c r="Q13" s="24" t="n">
        <v>7.53756</v>
      </c>
      <c r="R13" s="13" t="n"/>
      <c r="S13" s="25" t="n">
        <v>26.4</v>
      </c>
    </row>
    <row r="14">
      <c r="D14" s="12" t="n"/>
      <c r="H14" s="13" t="n"/>
      <c r="I14" s="12" t="n"/>
      <c r="M14" s="13" t="n"/>
      <c r="N14" s="12" t="n"/>
      <c r="R14" s="13" t="n"/>
      <c r="S14" s="12" t="n"/>
    </row>
    <row r="15">
      <c r="B15" s="14" t="inlineStr">
        <is>
          <t>Consensus Total Revenue</t>
        </is>
      </c>
      <c r="D15" s="12" t="n"/>
      <c r="H15" s="13" t="n"/>
      <c r="I15" s="12" t="n"/>
      <c r="M15" s="13" t="n"/>
      <c r="N15" s="12" t="n"/>
      <c r="O15" s="16" t="n">
        <v>446.492472</v>
      </c>
      <c r="P15" s="16" t="n">
        <v>468.965866</v>
      </c>
      <c r="Q15" s="16" t="n">
        <v>482.519655</v>
      </c>
      <c r="R15" s="13" t="n"/>
      <c r="S15" s="15" t="n">
        <v>507.429715</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26">
        <f>IFERROR((P9-P15)/P15,"-")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31">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327.957</v>
      </c>
      <c r="E32" s="16" t="n">
        <v>334.999</v>
      </c>
      <c r="F32" s="16" t="n">
        <v>347.42</v>
      </c>
      <c r="G32" s="16" t="n">
        <v>365.361</v>
      </c>
      <c r="H32" s="17">
        <f>SUM(D32:G32)</f>
        <v/>
      </c>
      <c r="I32" s="15" t="n">
        <v>382.083</v>
      </c>
      <c r="J32" s="16" t="n">
        <v>388.432</v>
      </c>
      <c r="K32" s="16" t="n">
        <v>415.288</v>
      </c>
      <c r="L32" s="16" t="n">
        <v>423.481</v>
      </c>
      <c r="M32" s="17">
        <f>SUM(I32:L32)</f>
        <v/>
      </c>
      <c r="N32" s="15" t="n">
        <v>449.881</v>
      </c>
      <c r="R32" s="13" t="n"/>
      <c r="S32" s="12" t="n"/>
    </row>
    <row r="33">
      <c r="B33" s="14" t="inlineStr">
        <is>
          <t>Consensus Revenue</t>
        </is>
      </c>
      <c r="D33" s="15" t="n">
        <v>323.14</v>
      </c>
      <c r="E33" s="16" t="n">
        <v>329.594949</v>
      </c>
      <c r="F33" s="16" t="n">
        <v>344.801955</v>
      </c>
      <c r="G33" s="16" t="n">
        <v>354.291792</v>
      </c>
      <c r="H33" s="17">
        <f>SUM(D33:G33)</f>
        <v/>
      </c>
      <c r="I33" s="15" t="n">
        <v>369.040473</v>
      </c>
      <c r="J33" s="16" t="n">
        <v>380.357076</v>
      </c>
      <c r="K33" s="16" t="n">
        <v>397.158182</v>
      </c>
      <c r="L33" s="16" t="n">
        <v>418.429718</v>
      </c>
      <c r="M33" s="17">
        <f>SUM(I33:L33)</f>
        <v/>
      </c>
      <c r="N33" s="15" t="n">
        <v>438.4494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0.0262</v>
      </c>
      <c r="D37" s="12" t="n"/>
      <c r="H37" s="13" t="n"/>
      <c r="I37" s="12" t="n"/>
      <c r="M37" s="13" t="n"/>
      <c r="N37" s="12" t="n"/>
      <c r="R37" s="13" t="n"/>
      <c r="S37" s="12" t="n"/>
    </row>
    <row r="38">
      <c r="B38" s="2" t="inlineStr">
        <is>
          <t xml:space="preserve">   Trailing 8Q Avg Beat</t>
        </is>
      </c>
      <c r="C38" s="29" t="n">
        <v>0.0244</v>
      </c>
      <c r="D38" s="12" t="n"/>
      <c r="H38" s="13" t="n"/>
      <c r="I38" s="12" t="n"/>
      <c r="M38" s="13" t="n"/>
      <c r="N38" s="12" t="n"/>
      <c r="R38" s="13" t="n"/>
      <c r="S38" s="12" t="n"/>
    </row>
    <row r="39">
      <c r="B39" s="2" t="inlineStr">
        <is>
          <t xml:space="preserve">   Selected Beat Cadence</t>
        </is>
      </c>
      <c r="C39" s="30" t="n">
        <v>0.0244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FROG: KIN Base Case Operating Model</t>
        </is>
      </c>
    </row>
    <row r="2">
      <c r="B2" s="2" t="inlineStr">
        <is>
          <t>USD in Millions Unless Stated Otherwise</t>
        </is>
      </c>
    </row>
    <row r="3">
      <c r="B3" s="6" t="inlineStr">
        <is>
          <t>Beat Cadence (%)</t>
        </is>
      </c>
      <c r="C3" s="7" t="n">
        <v>0.0386</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100.311</v>
      </c>
      <c r="E9" s="16" t="n">
        <v>103.043</v>
      </c>
      <c r="F9" s="16" t="n">
        <v>109.056</v>
      </c>
      <c r="G9" s="16" t="n">
        <v>116.078</v>
      </c>
      <c r="H9" s="17">
        <f>SUM(D9:G9)</f>
        <v/>
      </c>
      <c r="I9" s="15" t="n">
        <v>122.407</v>
      </c>
      <c r="J9" s="16" t="n">
        <v>127.22</v>
      </c>
      <c r="K9" s="16" t="n">
        <v>136.907</v>
      </c>
      <c r="L9" s="16" t="n">
        <v>145.306</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7.835155</v>
      </c>
      <c r="O13" s="24" t="n">
        <v>3.924857</v>
      </c>
      <c r="P13" s="24" t="n">
        <v>9.97761</v>
      </c>
      <c r="Q13" s="24" t="n">
        <v>8.398999999999999</v>
      </c>
      <c r="R13" s="13" t="n"/>
    </row>
    <row r="14">
      <c r="D14" s="12" t="n"/>
      <c r="H14" s="13" t="n"/>
      <c r="I14" s="12" t="n"/>
      <c r="M14" s="13" t="n"/>
      <c r="N14" s="12" t="n"/>
      <c r="R14" s="13" t="n"/>
    </row>
    <row r="15">
      <c r="B15" s="14" t="inlineStr">
        <is>
          <t>Consensus Total Revenue</t>
        </is>
      </c>
      <c r="D15" s="12" t="n"/>
      <c r="H15" s="13" t="n"/>
      <c r="I15" s="12" t="n"/>
      <c r="M15" s="13" t="n"/>
      <c r="N15" s="15" t="n">
        <v>147.4496</v>
      </c>
      <c r="P15" s="16" t="n">
        <v>160.249442</v>
      </c>
      <c r="Q15" s="16" t="n">
        <v>168.460675</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100.311</v>
      </c>
      <c r="E32" s="16" t="n">
        <v>103.043</v>
      </c>
      <c r="F32" s="16" t="n">
        <v>109.056</v>
      </c>
      <c r="G32" s="16" t="n">
        <v>116.078</v>
      </c>
      <c r="H32" s="17">
        <f>SUM(D32:G32)</f>
        <v/>
      </c>
      <c r="I32" s="15" t="n">
        <v>122.407</v>
      </c>
      <c r="J32" s="16" t="n">
        <v>127.22</v>
      </c>
      <c r="K32" s="16" t="n">
        <v>136.907</v>
      </c>
      <c r="L32" s="16" t="n">
        <v>145.306</v>
      </c>
      <c r="M32" s="17">
        <f>SUM(I32:L32)</f>
        <v/>
      </c>
      <c r="N32" s="12" t="n"/>
      <c r="R32" s="13" t="n"/>
    </row>
    <row r="33">
      <c r="B33" s="14" t="inlineStr">
        <is>
          <t>Consensus Revenue</t>
        </is>
      </c>
      <c r="D33" s="15" t="n">
        <v>98.66</v>
      </c>
      <c r="E33" s="16" t="n">
        <v>103.58</v>
      </c>
      <c r="F33" s="16" t="n">
        <v>114.19</v>
      </c>
      <c r="G33" s="16" t="n">
        <v>114.23509</v>
      </c>
      <c r="H33" s="17">
        <f>SUM(D33:G33)</f>
        <v/>
      </c>
      <c r="I33" s="15" t="n">
        <v>117.41025</v>
      </c>
      <c r="J33" s="16" t="n">
        <v>128.15427</v>
      </c>
      <c r="K33" s="16" t="n">
        <v>128.345887</v>
      </c>
      <c r="L33" s="16" t="n">
        <v>138.0902</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26">
        <f>IFERROR((G32-G33)/G33,"-")</f>
        <v/>
      </c>
      <c r="H35" s="20">
        <f>IFERROR((H32-H33)/H33,"-")</f>
        <v/>
      </c>
      <c r="I35" s="28">
        <f>IFERROR((I32-I33)/I33,"-")</f>
        <v/>
      </c>
      <c r="J35" s="31">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0.0386</v>
      </c>
      <c r="D37" s="12" t="n"/>
      <c r="H37" s="13" t="n"/>
      <c r="I37" s="12" t="n"/>
      <c r="M37" s="13" t="n"/>
      <c r="N37" s="12" t="n"/>
      <c r="R37" s="13" t="n"/>
    </row>
    <row r="38">
      <c r="B38" s="2" t="inlineStr">
        <is>
          <t xml:space="preserve">   Trailing 8Q Avg Beat</t>
        </is>
      </c>
      <c r="C38" s="29" t="n">
        <v>0.0171</v>
      </c>
      <c r="D38" s="12" t="n"/>
      <c r="H38" s="13" t="n"/>
      <c r="I38" s="12" t="n"/>
      <c r="M38" s="13" t="n"/>
      <c r="N38" s="12" t="n"/>
      <c r="R38" s="13" t="n"/>
    </row>
    <row r="39">
      <c r="B39" s="2" t="inlineStr">
        <is>
          <t xml:space="preserve">   Selected Beat Cadence</t>
        </is>
      </c>
      <c r="C39" s="30" t="n">
        <v>0.0386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 KIN Base Case Operating Model</t>
        </is>
      </c>
    </row>
    <row r="2">
      <c r="B2" s="2" t="inlineStr">
        <is>
          <t>USD in Millions Unless Stated Otherwise</t>
        </is>
      </c>
    </row>
    <row r="3">
      <c r="B3" s="6" t="inlineStr">
        <is>
          <t>Beat Cadence (%)</t>
        </is>
      </c>
      <c r="C3" s="7" t="n">
        <v>-0.0052</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174.175</v>
      </c>
      <c r="E9" s="16" t="n">
        <v>186.355</v>
      </c>
      <c r="F9" s="16" t="n">
        <v>198.937</v>
      </c>
      <c r="G9" s="16" t="n">
        <v>210.648</v>
      </c>
      <c r="H9" s="17">
        <f>SUM(D9:G9)</f>
        <v/>
      </c>
      <c r="I9" s="15" t="n">
        <v>225.521</v>
      </c>
      <c r="J9" s="16" t="n">
        <v>229.029</v>
      </c>
      <c r="K9" s="16" t="n">
        <v>242.183</v>
      </c>
      <c r="L9" s="16" t="n">
        <v>258.913</v>
      </c>
      <c r="M9" s="17">
        <f>SUM(I9:L9)</f>
        <v/>
      </c>
      <c r="N9" s="15" t="n">
        <v>271.153</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4.782634</v>
      </c>
      <c r="P13" s="24" t="n">
        <v>13.54862</v>
      </c>
      <c r="Q13" s="24" t="n">
        <v>16.73</v>
      </c>
      <c r="R13" s="13" t="n"/>
      <c r="S13" s="25" t="n">
        <v>12.24</v>
      </c>
    </row>
    <row r="14">
      <c r="D14" s="12" t="n"/>
      <c r="H14" s="13" t="n"/>
      <c r="I14" s="12" t="n"/>
      <c r="M14" s="13" t="n"/>
      <c r="N14" s="12" t="n"/>
      <c r="R14" s="13" t="n"/>
      <c r="S14" s="12" t="n"/>
    </row>
    <row r="15">
      <c r="B15" s="14" t="inlineStr">
        <is>
          <t>Consensus Total Revenue</t>
        </is>
      </c>
      <c r="D15" s="12" t="n"/>
      <c r="H15" s="13" t="n"/>
      <c r="I15" s="12" t="n"/>
      <c r="M15" s="13" t="n"/>
      <c r="N15" s="12" t="n"/>
      <c r="O15" s="16" t="n">
        <v>277.378</v>
      </c>
      <c r="Q15" s="16" t="n">
        <v>309.247274</v>
      </c>
      <c r="R15" s="13" t="n"/>
      <c r="S15" s="15" t="n">
        <v>323.177772</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31">
        <f>IFERROR((O9-O15)/O15,"-")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174.175</v>
      </c>
      <c r="E32" s="16" t="n">
        <v>186.355</v>
      </c>
      <c r="F32" s="16" t="n">
        <v>198.937</v>
      </c>
      <c r="G32" s="16" t="n">
        <v>210.648</v>
      </c>
      <c r="H32" s="17">
        <f>SUM(D32:G32)</f>
        <v/>
      </c>
      <c r="I32" s="15" t="n">
        <v>225.521</v>
      </c>
      <c r="J32" s="16" t="n">
        <v>229.029</v>
      </c>
      <c r="K32" s="16" t="n">
        <v>242.183</v>
      </c>
      <c r="L32" s="16" t="n">
        <v>258.913</v>
      </c>
      <c r="M32" s="17">
        <f>SUM(I32:L32)</f>
        <v/>
      </c>
      <c r="N32" s="15" t="n">
        <v>271.153</v>
      </c>
      <c r="R32" s="13" t="n"/>
      <c r="S32" s="12" t="n"/>
    </row>
    <row r="33">
      <c r="B33" s="14" t="inlineStr">
        <is>
          <t>Consensus Revenue</t>
        </is>
      </c>
      <c r="D33" s="15" t="n">
        <v>169.65</v>
      </c>
      <c r="E33" s="16" t="n">
        <v>181.106904</v>
      </c>
      <c r="F33" s="16" t="n">
        <v>197.315062</v>
      </c>
      <c r="G33" s="16" t="n">
        <v>209.748733</v>
      </c>
      <c r="H33" s="17">
        <f>SUM(D33:G33)</f>
        <v/>
      </c>
      <c r="I33" s="15" t="n">
        <v>235.46946</v>
      </c>
      <c r="J33" s="16" t="n">
        <v>228.360587</v>
      </c>
      <c r="K33" s="16" t="n">
        <v>256.1828</v>
      </c>
      <c r="L33" s="16" t="n">
        <v>256.157958</v>
      </c>
      <c r="M33" s="17">
        <f>SUM(I33:L33)</f>
        <v/>
      </c>
      <c r="N33" s="15" t="n">
        <v>271.1633</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7">
        <f>IFERROR((I32-I33)/I33,"-")</f>
        <v/>
      </c>
      <c r="J35" s="26">
        <f>IFERROR((J32-J33)/J33,"-")</f>
        <v/>
      </c>
      <c r="K35" s="31">
        <f>IFERROR((K32-K33)/K33,"-")</f>
        <v/>
      </c>
      <c r="L35" s="26">
        <f>IFERROR((L32-L33)/L33,"-")</f>
        <v/>
      </c>
      <c r="M35" s="20">
        <f>IFERROR((M32-M33)/M33,"-")</f>
        <v/>
      </c>
      <c r="N35" s="27">
        <f>IFERROR((N32-N33)/N33,"-")</f>
        <v/>
      </c>
      <c r="R35" s="13" t="n"/>
      <c r="S35" s="12" t="n"/>
    </row>
    <row r="36">
      <c r="D36" s="12" t="n"/>
      <c r="H36" s="13" t="n"/>
      <c r="I36" s="12" t="n"/>
      <c r="M36" s="13" t="n"/>
      <c r="N36" s="12" t="n"/>
      <c r="R36" s="13" t="n"/>
      <c r="S36" s="12" t="n"/>
    </row>
    <row r="37">
      <c r="B37" s="2" t="inlineStr">
        <is>
          <t xml:space="preserve">   Trailing 4Q Avg Beat</t>
        </is>
      </c>
      <c r="C37" s="29" t="n">
        <v>-0.0102</v>
      </c>
      <c r="D37" s="12" t="n"/>
      <c r="H37" s="13" t="n"/>
      <c r="I37" s="12" t="n"/>
      <c r="M37" s="13" t="n"/>
      <c r="N37" s="12" t="n"/>
      <c r="R37" s="13" t="n"/>
      <c r="S37" s="12" t="n"/>
    </row>
    <row r="38">
      <c r="B38" s="2" t="inlineStr">
        <is>
          <t xml:space="preserve">   Trailing 8Q Avg Beat</t>
        </is>
      </c>
      <c r="C38" s="29" t="n">
        <v>-0.0052</v>
      </c>
      <c r="D38" s="12" t="n"/>
      <c r="H38" s="13" t="n"/>
      <c r="I38" s="12" t="n"/>
      <c r="M38" s="13" t="n"/>
      <c r="N38" s="12" t="n"/>
      <c r="R38" s="13" t="n"/>
      <c r="S38" s="12" t="n"/>
    </row>
    <row r="39">
      <c r="B39" s="2" t="inlineStr">
        <is>
          <t xml:space="preserve">   Selected Beat Cadence</t>
        </is>
      </c>
      <c r="C39" s="30" t="n">
        <v>-0.0052</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ZI: KIN Base Case Operating Model</t>
        </is>
      </c>
    </row>
    <row r="2">
      <c r="B2" s="2" t="inlineStr">
        <is>
          <t>USD in Millions Unless Stated Otherwise</t>
        </is>
      </c>
    </row>
    <row r="3">
      <c r="B3" s="6" t="inlineStr">
        <is>
          <t>Beat Cadence (%)</t>
        </is>
      </c>
      <c r="C3" s="7" t="n">
        <v>0.0304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310.1</v>
      </c>
      <c r="E9" s="16" t="n">
        <v>291.5</v>
      </c>
      <c r="F9" s="16" t="n">
        <v>303.6</v>
      </c>
      <c r="G9" s="16" t="n">
        <v>309.1</v>
      </c>
      <c r="H9" s="17">
        <f>SUM(D9:G9)</f>
        <v/>
      </c>
      <c r="I9" s="15" t="n">
        <v>305.7</v>
      </c>
      <c r="J9" s="16" t="n">
        <v>306.7</v>
      </c>
      <c r="K9" s="16" t="n">
        <v>318</v>
      </c>
      <c r="L9" s="16" t="n">
        <v>319.1</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-7.747261</v>
      </c>
      <c r="O13" s="24" t="n">
        <v>5.829507</v>
      </c>
      <c r="P13" s="24" t="n">
        <v>13.201279</v>
      </c>
      <c r="Q13" s="24" t="n">
        <v>9.030383</v>
      </c>
      <c r="R13" s="13" t="n"/>
    </row>
    <row r="14">
      <c r="D14" s="12" t="n"/>
      <c r="H14" s="13" t="n"/>
      <c r="I14" s="12" t="n"/>
      <c r="M14" s="13" t="n"/>
      <c r="N14" s="12" t="n"/>
      <c r="R14" s="13" t="n"/>
    </row>
    <row r="15">
      <c r="B15" s="14" t="inlineStr">
        <is>
          <t>Consensus Total Revenue</t>
        </is>
      </c>
      <c r="D15" s="12" t="n"/>
      <c r="H15" s="13" t="n"/>
      <c r="I15" s="12" t="n"/>
      <c r="M15" s="13" t="n"/>
      <c r="N15" s="15" t="n">
        <v>302.166866</v>
      </c>
      <c r="O15" s="16" t="n">
        <v>304.184124</v>
      </c>
      <c r="P15" s="16" t="n">
        <v>308.913714</v>
      </c>
      <c r="Q15" s="16" t="n">
        <v>314.587312</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310.1</v>
      </c>
      <c r="E32" s="16" t="n">
        <v>291.5</v>
      </c>
      <c r="F32" s="16" t="n">
        <v>303.6</v>
      </c>
      <c r="G32" s="16" t="n">
        <v>309.1</v>
      </c>
      <c r="H32" s="17">
        <f>SUM(D32:G32)</f>
        <v/>
      </c>
      <c r="I32" s="15" t="n">
        <v>305.7</v>
      </c>
      <c r="J32" s="16" t="n">
        <v>306.7</v>
      </c>
      <c r="K32" s="16" t="n">
        <v>318</v>
      </c>
      <c r="L32" s="16" t="n">
        <v>319.1</v>
      </c>
      <c r="M32" s="17">
        <f>SUM(I32:L32)</f>
        <v/>
      </c>
      <c r="N32" s="12" t="n"/>
      <c r="R32" s="13" t="n"/>
    </row>
    <row r="33">
      <c r="B33" s="14" t="inlineStr">
        <is>
          <t>Consensus Revenue</t>
        </is>
      </c>
      <c r="D33" s="15" t="n">
        <v>308.75967</v>
      </c>
      <c r="E33" s="16" t="n">
        <v>299.38</v>
      </c>
      <c r="F33" s="16" t="n">
        <v>299.371248</v>
      </c>
      <c r="G33" s="16" t="n">
        <v>297.63938</v>
      </c>
      <c r="H33" s="17">
        <f>SUM(D33:G33)</f>
        <v/>
      </c>
      <c r="I33" s="15" t="n">
        <v>295.5189</v>
      </c>
      <c r="J33" s="16" t="n">
        <v>296.40214</v>
      </c>
      <c r="M33" s="13" t="n"/>
      <c r="N33" s="12" t="n"/>
      <c r="R33" s="13" t="n"/>
    </row>
    <row r="34">
      <c r="B34" s="2" t="inlineStr">
        <is>
          <t xml:space="preserve">   Beat / Miss ($)</t>
        </is>
      </c>
      <c r="D34" s="21">
        <f>D32-D33</f>
        <v/>
      </c>
      <c r="E34" s="22">
        <f>E32-E33</f>
        <v/>
      </c>
      <c r="F34" s="22">
        <f>F32-F33</f>
        <v/>
      </c>
      <c r="G34" s="22">
        <f>G32-G33</f>
        <v/>
      </c>
      <c r="H34" s="23">
        <f>H32-H33</f>
        <v/>
      </c>
      <c r="I34" s="21">
        <f>I32-I33</f>
        <v/>
      </c>
      <c r="J34" s="22">
        <f>J32-J33</f>
        <v/>
      </c>
      <c r="M34" s="13" t="n"/>
      <c r="N34" s="12" t="n"/>
      <c r="R34" s="13" t="n"/>
    </row>
    <row r="35">
      <c r="B35" s="2" t="inlineStr">
        <is>
          <t xml:space="preserve">   Beat / Miss (%)</t>
        </is>
      </c>
      <c r="D35" s="28">
        <f>IFERROR((D32-D33)/D33,"-")</f>
        <v/>
      </c>
      <c r="E35" s="31">
        <f>IFERROR((E32-E33)/E33,"-")</f>
        <v/>
      </c>
      <c r="F35" s="26">
        <f>IFERROR((F32-F33)/F33,"-")</f>
        <v/>
      </c>
      <c r="G35" s="26">
        <f>IFERROR((G32-G33)/G33,"-")</f>
        <v/>
      </c>
      <c r="H35" s="20">
        <f>IFERROR((H32-H33)/H33,"-")</f>
        <v/>
      </c>
      <c r="I35" s="28">
        <f>IFERROR((I32-I33)/I33,"-")</f>
        <v/>
      </c>
      <c r="J35" s="26">
        <f>IFERROR((J32-J33)/J33,"-")</f>
        <v/>
      </c>
      <c r="M35" s="13" t="n"/>
      <c r="N35" s="12" t="n"/>
      <c r="R35" s="13" t="n"/>
    </row>
    <row r="36">
      <c r="D36" s="12" t="n"/>
      <c r="H36" s="13" t="n"/>
      <c r="I36" s="12" t="n"/>
      <c r="M36" s="13" t="n"/>
      <c r="N36" s="12" t="n"/>
      <c r="R36" s="13" t="n"/>
    </row>
    <row r="37">
      <c r="B37" s="2" t="inlineStr">
        <is>
          <t xml:space="preserve">   Trailing 4Q Avg Beat</t>
        </is>
      </c>
      <c r="C37" s="29" t="n">
        <v>0.0304</v>
      </c>
      <c r="D37" s="12" t="n"/>
      <c r="H37" s="13" t="n"/>
      <c r="I37" s="12" t="n"/>
      <c r="M37" s="13" t="n"/>
      <c r="N37" s="12" t="n"/>
      <c r="R37" s="13" t="n"/>
    </row>
    <row r="38">
      <c r="B38" s="2" t="inlineStr">
        <is>
          <t xml:space="preserve">   Trailing 8Q Avg Beat</t>
        </is>
      </c>
      <c r="C38" s="29" t="n">
        <v>0.0159</v>
      </c>
      <c r="D38" s="12" t="n"/>
      <c r="H38" s="13" t="n"/>
      <c r="I38" s="12" t="n"/>
      <c r="M38" s="13" t="n"/>
      <c r="N38" s="12" t="n"/>
      <c r="R38" s="13" t="n"/>
    </row>
    <row r="39">
      <c r="B39" s="2" t="inlineStr">
        <is>
          <t xml:space="preserve">   Selected Beat Cadence</t>
        </is>
      </c>
      <c r="C39" s="30" t="n">
        <v>0.0304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DT: KIN Base Case Operating Model</t>
        </is>
      </c>
    </row>
    <row r="2">
      <c r="B2" s="2" t="inlineStr">
        <is>
          <t>USD in Millions Unless Stated Otherwise</t>
        </is>
      </c>
    </row>
    <row r="3">
      <c r="B3" s="6" t="inlineStr">
        <is>
          <t>Beat Cadence (%)</t>
        </is>
      </c>
      <c r="C3" s="7" t="n">
        <v>0.0194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380.848</v>
      </c>
      <c r="E9" s="16" t="n">
        <v>399.22</v>
      </c>
      <c r="F9" s="16" t="n">
        <v>418.129</v>
      </c>
      <c r="G9" s="16" t="n">
        <v>436.169</v>
      </c>
      <c r="H9" s="17">
        <f>SUM(D9:G9)</f>
        <v/>
      </c>
      <c r="I9" s="15" t="n">
        <v>445.165</v>
      </c>
      <c r="J9" s="16" t="n">
        <v>477.349</v>
      </c>
      <c r="K9" s="16" t="n">
        <v>493.849</v>
      </c>
      <c r="L9" s="16" t="n">
        <v>515.473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15.653638</v>
      </c>
      <c r="O13" s="24" t="n">
        <v>32.184</v>
      </c>
      <c r="P13" s="24" t="n">
        <v>15.18</v>
      </c>
      <c r="Q13" s="24" t="n">
        <v>21.624</v>
      </c>
      <c r="R13" s="13" t="n"/>
    </row>
    <row r="14">
      <c r="D14" s="12" t="n"/>
      <c r="H14" s="13" t="n"/>
      <c r="I14" s="12" t="n"/>
      <c r="M14" s="13" t="n"/>
      <c r="N14" s="12" t="n"/>
      <c r="R14" s="13" t="n"/>
    </row>
    <row r="15">
      <c r="B15" s="14" t="inlineStr">
        <is>
          <t>Consensus Total Revenue</t>
        </is>
      </c>
      <c r="D15" s="12" t="n"/>
      <c r="H15" s="13" t="n"/>
      <c r="I15" s="12" t="n"/>
      <c r="M15" s="13" t="n"/>
      <c r="N15" s="15" t="n">
        <v>521.018872</v>
      </c>
      <c r="O15" s="16" t="n">
        <v>547.961078</v>
      </c>
      <c r="P15" s="16" t="n">
        <v>566.898607</v>
      </c>
      <c r="Q15" s="16" t="n">
        <v>590.072679</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380.848</v>
      </c>
      <c r="E32" s="16" t="n">
        <v>399.22</v>
      </c>
      <c r="F32" s="16" t="n">
        <v>418.129</v>
      </c>
      <c r="G32" s="16" t="n">
        <v>436.169</v>
      </c>
      <c r="H32" s="17">
        <f>SUM(D32:G32)</f>
        <v/>
      </c>
      <c r="I32" s="15" t="n">
        <v>445.165</v>
      </c>
      <c r="J32" s="16" t="n">
        <v>477.349</v>
      </c>
      <c r="K32" s="16" t="n">
        <v>493.849</v>
      </c>
      <c r="L32" s="16" t="n">
        <v>515.473</v>
      </c>
      <c r="M32" s="17">
        <f>SUM(I32:L32)</f>
        <v/>
      </c>
      <c r="N32" s="12" t="n"/>
      <c r="R32" s="13" t="n"/>
    </row>
    <row r="33">
      <c r="B33" s="14" t="inlineStr">
        <is>
          <t>Consensus Revenue</t>
        </is>
      </c>
      <c r="D33" s="15" t="n">
        <v>375.275521</v>
      </c>
      <c r="E33" s="16" t="n">
        <v>392.215152</v>
      </c>
      <c r="F33" s="16" t="n">
        <v>406.172413</v>
      </c>
      <c r="G33" s="16" t="n">
        <v>435.25627</v>
      </c>
      <c r="H33" s="17">
        <f>SUM(D33:G33)</f>
        <v/>
      </c>
      <c r="I33" s="15" t="n">
        <v>434.764032</v>
      </c>
      <c r="J33" s="16" t="n">
        <v>467.528705</v>
      </c>
      <c r="K33" s="16" t="n">
        <v>487.336546</v>
      </c>
      <c r="L33" s="16" t="n">
        <v>505.8059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0.0194</v>
      </c>
      <c r="D37" s="12" t="n"/>
      <c r="H37" s="13" t="n"/>
      <c r="I37" s="12" t="n"/>
      <c r="M37" s="13" t="n"/>
      <c r="N37" s="12" t="n"/>
      <c r="R37" s="13" t="n"/>
    </row>
    <row r="38">
      <c r="B38" s="2" t="inlineStr">
        <is>
          <t xml:space="preserve">   Trailing 8Q Avg Beat</t>
        </is>
      </c>
      <c r="C38" s="29" t="n">
        <v>0.0177</v>
      </c>
      <c r="D38" s="12" t="n"/>
      <c r="H38" s="13" t="n"/>
      <c r="I38" s="12" t="n"/>
      <c r="M38" s="13" t="n"/>
      <c r="N38" s="12" t="n"/>
      <c r="R38" s="13" t="n"/>
    </row>
    <row r="39">
      <c r="B39" s="2" t="inlineStr">
        <is>
          <t xml:space="preserve">   Selected Beat Cadence</t>
        </is>
      </c>
      <c r="C39" s="30" t="n">
        <v>0.0194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TOST: KIN Base Case Operating Model</t>
        </is>
      </c>
    </row>
    <row r="2">
      <c r="B2" s="2" t="inlineStr">
        <is>
          <t>USD in Millions Unless Stated Otherwise</t>
        </is>
      </c>
    </row>
    <row r="3">
      <c r="B3" s="6" t="inlineStr">
        <is>
          <t>Beat Cadence (%)</t>
        </is>
      </c>
      <c r="C3" s="7" t="n">
        <v>0.0156</v>
      </c>
    </row>
    <row r="4">
      <c r="B4" s="6" t="inlineStr">
        <is>
          <t>Beat Window</t>
        </is>
      </c>
      <c r="C4" s="9" t="inlineStr">
        <is>
          <t>8Q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1075</v>
      </c>
      <c r="E9" s="16" t="n">
        <v>1242</v>
      </c>
      <c r="F9" s="16" t="n">
        <v>1305</v>
      </c>
      <c r="G9" s="16" t="n">
        <v>1338</v>
      </c>
      <c r="H9" s="17">
        <f>SUM(D9:G9)</f>
        <v/>
      </c>
      <c r="I9" s="15" t="n">
        <v>1337</v>
      </c>
      <c r="J9" s="16" t="n">
        <v>1550</v>
      </c>
      <c r="K9" s="16" t="n">
        <v>1633</v>
      </c>
      <c r="L9" s="16" t="n">
        <v>1633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25.311288</v>
      </c>
      <c r="O13" s="24" t="n">
        <v>206.61</v>
      </c>
      <c r="P13" s="24" t="n">
        <v>82.92529999999999</v>
      </c>
      <c r="Q13" s="24" t="n">
        <v>-5.496667</v>
      </c>
      <c r="R13" s="13" t="n"/>
    </row>
    <row r="14">
      <c r="D14" s="12" t="n"/>
      <c r="H14" s="13" t="n"/>
      <c r="I14" s="12" t="n"/>
      <c r="M14" s="13" t="n"/>
      <c r="N14" s="12" t="n"/>
      <c r="R14" s="13" t="n"/>
    </row>
    <row r="15">
      <c r="B15" s="14" t="inlineStr">
        <is>
          <t>Consensus Total Revenue</t>
        </is>
      </c>
      <c r="D15" s="12" t="n"/>
      <c r="H15" s="13" t="n"/>
      <c r="I15" s="12" t="n"/>
      <c r="M15" s="13" t="n"/>
      <c r="N15" s="15" t="n">
        <v>1632.839</v>
      </c>
      <c r="P15" s="16" t="n">
        <v>1948.814458</v>
      </c>
      <c r="Q15" s="16" t="n">
        <v>1945.932828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1075</v>
      </c>
      <c r="E32" s="16" t="n">
        <v>1242</v>
      </c>
      <c r="F32" s="16" t="n">
        <v>1305</v>
      </c>
      <c r="G32" s="16" t="n">
        <v>1338</v>
      </c>
      <c r="H32" s="17">
        <f>SUM(D32:G32)</f>
        <v/>
      </c>
      <c r="I32" s="15" t="n">
        <v>1337</v>
      </c>
      <c r="J32" s="16" t="n">
        <v>1550</v>
      </c>
      <c r="K32" s="16" t="n">
        <v>1633</v>
      </c>
      <c r="L32" s="16" t="n">
        <v>1633</v>
      </c>
      <c r="M32" s="17">
        <f>SUM(I32:L32)</f>
        <v/>
      </c>
      <c r="N32" s="12" t="n"/>
      <c r="R32" s="13" t="n"/>
    </row>
    <row r="33">
      <c r="B33" s="14" t="inlineStr">
        <is>
          <t>Consensus Revenue</t>
        </is>
      </c>
      <c r="D33" s="15" t="n">
        <v>1043.646546</v>
      </c>
      <c r="E33" s="16" t="n">
        <v>1221.121457</v>
      </c>
      <c r="F33" s="16" t="n">
        <v>1292.760757</v>
      </c>
      <c r="G33" s="16" t="n">
        <v>1313.860581</v>
      </c>
      <c r="H33" s="17">
        <f>SUM(D33:G33)</f>
        <v/>
      </c>
      <c r="I33" s="15" t="n">
        <v>1343.810665</v>
      </c>
      <c r="J33" s="16" t="n">
        <v>1524.98912</v>
      </c>
      <c r="K33" s="16" t="n">
        <v>1586.597545</v>
      </c>
      <c r="L33" s="16" t="n">
        <v>1618.432</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7">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0.0124</v>
      </c>
      <c r="D37" s="12" t="n"/>
      <c r="H37" s="13" t="n"/>
      <c r="I37" s="12" t="n"/>
      <c r="M37" s="13" t="n"/>
      <c r="N37" s="12" t="n"/>
      <c r="R37" s="13" t="n"/>
    </row>
    <row r="38">
      <c r="B38" s="2" t="inlineStr">
        <is>
          <t xml:space="preserve">   Trailing 8Q Avg Beat</t>
        </is>
      </c>
      <c r="C38" s="29" t="n">
        <v>0.0156</v>
      </c>
      <c r="D38" s="12" t="n"/>
      <c r="H38" s="13" t="n"/>
      <c r="I38" s="12" t="n"/>
      <c r="M38" s="13" t="n"/>
      <c r="N38" s="12" t="n"/>
      <c r="R38" s="13" t="n"/>
    </row>
    <row r="39">
      <c r="B39" s="2" t="inlineStr">
        <is>
          <t xml:space="preserve">   Selected Beat Cadence</t>
        </is>
      </c>
      <c r="C39" s="30" t="n">
        <v>0.0156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PCTY: KIN Base Case Operating Model</t>
        </is>
      </c>
    </row>
    <row r="2">
      <c r="B2" s="2" t="inlineStr">
        <is>
          <t>USD in Millions Unless Stated Otherwise</t>
        </is>
      </c>
    </row>
    <row r="3">
      <c r="B3" s="6" t="inlineStr">
        <is>
          <t>Beat Cadence (%)</t>
        </is>
      </c>
      <c r="C3" s="7" t="n">
        <v>0.0216</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401.281</v>
      </c>
      <c r="E9" s="16" t="n">
        <v>311.917</v>
      </c>
      <c r="F9" s="16" t="n">
        <v>317.586</v>
      </c>
      <c r="G9" s="16" t="n">
        <v>376.98</v>
      </c>
      <c r="H9" s="17">
        <f>SUM(D9:G9)</f>
        <v/>
      </c>
      <c r="I9" s="15" t="n">
        <v>454.548</v>
      </c>
      <c r="J9" s="16" t="n">
        <v>446.107</v>
      </c>
      <c r="K9" s="16" t="n">
        <v>408.172</v>
      </c>
      <c r="L9" s="16" t="n">
        <v>416.134</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84.362396</v>
      </c>
      <c r="O13" s="24" t="n">
        <v>-32.594992</v>
      </c>
      <c r="P13" s="24" t="n">
        <v>7.132223</v>
      </c>
      <c r="Q13" s="24" t="n">
        <v>12.487001</v>
      </c>
      <c r="R13" s="13" t="n"/>
    </row>
    <row r="14">
      <c r="D14" s="12" t="n"/>
      <c r="H14" s="13" t="n"/>
      <c r="I14" s="12" t="n"/>
      <c r="M14" s="13" t="n"/>
      <c r="N14" s="12" t="n"/>
      <c r="R14" s="13" t="n"/>
    </row>
    <row r="15">
      <c r="B15" s="14" t="inlineStr">
        <is>
          <t>Consensus Total Revenue</t>
        </is>
      </c>
      <c r="D15" s="12" t="n"/>
      <c r="H15" s="13" t="n"/>
      <c r="I15" s="12" t="n"/>
      <c r="M15" s="13" t="n"/>
      <c r="N15" s="15" t="n">
        <v>489.914248</v>
      </c>
      <c r="O15" s="16" t="n">
        <v>424.197607</v>
      </c>
      <c r="P15" s="16" t="n">
        <v>435.951689</v>
      </c>
      <c r="Q15" s="16" t="n">
        <v>446.787989</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401.281</v>
      </c>
      <c r="E32" s="16" t="n">
        <v>311.917</v>
      </c>
      <c r="F32" s="16" t="n">
        <v>317.586</v>
      </c>
      <c r="G32" s="16" t="n">
        <v>376.98</v>
      </c>
      <c r="H32" s="17">
        <f>SUM(D32:G32)</f>
        <v/>
      </c>
      <c r="I32" s="15" t="n">
        <v>454.548</v>
      </c>
      <c r="J32" s="16" t="n">
        <v>446.107</v>
      </c>
      <c r="K32" s="16" t="n">
        <v>408.172</v>
      </c>
      <c r="L32" s="16" t="n">
        <v>416.134</v>
      </c>
      <c r="M32" s="17">
        <f>SUM(I32:L32)</f>
        <v/>
      </c>
      <c r="N32" s="12" t="n"/>
      <c r="R32" s="13" t="n"/>
    </row>
    <row r="33">
      <c r="B33" s="14" t="inlineStr">
        <is>
          <t>Consensus Revenue</t>
        </is>
      </c>
      <c r="D33" s="15" t="n">
        <v>397.18</v>
      </c>
      <c r="E33" s="16" t="n">
        <v>350.25</v>
      </c>
      <c r="F33" s="16" t="n">
        <v>358.340589</v>
      </c>
      <c r="G33" s="16" t="n">
        <v>366.86502</v>
      </c>
      <c r="H33" s="17">
        <f>SUM(D33:G33)</f>
        <v/>
      </c>
      <c r="I33" s="15" t="n">
        <v>441.71602</v>
      </c>
      <c r="J33" s="16" t="n">
        <v>393.09019</v>
      </c>
      <c r="K33" s="16" t="n">
        <v>400.458087</v>
      </c>
      <c r="L33" s="16" t="n">
        <v>408.5927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0.0216</v>
      </c>
      <c r="D37" s="12" t="n"/>
      <c r="H37" s="13" t="n"/>
      <c r="I37" s="12" t="n"/>
      <c r="M37" s="13" t="n"/>
      <c r="N37" s="12" t="n"/>
      <c r="R37" s="13" t="n"/>
    </row>
    <row r="38">
      <c r="B38" s="2" t="inlineStr">
        <is>
          <t xml:space="preserve">   Trailing 8Q Avg Beat</t>
        </is>
      </c>
      <c r="C38" s="29" t="n">
        <v>0.0197</v>
      </c>
      <c r="D38" s="12" t="n"/>
      <c r="H38" s="13" t="n"/>
      <c r="I38" s="12" t="n"/>
      <c r="M38" s="13" t="n"/>
      <c r="N38" s="12" t="n"/>
      <c r="R38" s="13" t="n"/>
    </row>
    <row r="39">
      <c r="B39" s="2" t="inlineStr">
        <is>
          <t xml:space="preserve">   Selected Beat Cadence</t>
        </is>
      </c>
      <c r="C39" s="30" t="n">
        <v>0.0216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PAYC: KIN Base Case Operating Model</t>
        </is>
      </c>
    </row>
    <row r="2">
      <c r="B2" s="2" t="inlineStr">
        <is>
          <t>USD in Millions Unless Stated Otherwise</t>
        </is>
      </c>
    </row>
    <row r="3">
      <c r="B3" s="6" t="inlineStr">
        <is>
          <t>Beat Cadence (%)</t>
        </is>
      </c>
      <c r="C3" s="7" t="n">
        <v>0.0095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499.9</v>
      </c>
      <c r="E9" s="16" t="n">
        <v>437.5</v>
      </c>
      <c r="F9" s="16" t="n">
        <v>451.934</v>
      </c>
      <c r="G9" s="16" t="n">
        <v>493.866</v>
      </c>
      <c r="H9" s="17">
        <f>SUM(D9:G9)</f>
        <v/>
      </c>
      <c r="I9" s="15" t="n">
        <v>530.5</v>
      </c>
      <c r="J9" s="16" t="n">
        <v>483.6</v>
      </c>
      <c r="K9" s="16" t="n">
        <v>493.3</v>
      </c>
      <c r="L9" s="16" t="n">
        <v>544.299999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26.15139</v>
      </c>
      <c r="O13" s="24" t="n">
        <v>-51.84505</v>
      </c>
      <c r="P13" s="24" t="n">
        <v>11.433792</v>
      </c>
      <c r="Q13" s="24" t="n">
        <v>52.529999</v>
      </c>
      <c r="R13" s="13" t="n"/>
    </row>
    <row r="14">
      <c r="D14" s="12" t="n"/>
      <c r="H14" s="13" t="n"/>
      <c r="I14" s="12" t="n"/>
      <c r="M14" s="13" t="n"/>
      <c r="N14" s="12" t="n"/>
      <c r="R14" s="13" t="n"/>
    </row>
    <row r="15">
      <c r="B15" s="14" t="inlineStr">
        <is>
          <t>Consensus Total Revenue</t>
        </is>
      </c>
      <c r="D15" s="12" t="n"/>
      <c r="H15" s="13" t="n"/>
      <c r="I15" s="12" t="n"/>
      <c r="M15" s="13" t="n"/>
      <c r="N15" s="15" t="n">
        <v>565.0830999999999</v>
      </c>
      <c r="P15" s="16" t="n">
        <v>529.765093</v>
      </c>
      <c r="Q15" s="16" t="n">
        <v>576.746995</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499.9</v>
      </c>
      <c r="E32" s="16" t="n">
        <v>437.5</v>
      </c>
      <c r="F32" s="16" t="n">
        <v>451.934</v>
      </c>
      <c r="G32" s="16" t="n">
        <v>493.866</v>
      </c>
      <c r="H32" s="17">
        <f>SUM(D32:G32)</f>
        <v/>
      </c>
      <c r="I32" s="15" t="n">
        <v>530.5</v>
      </c>
      <c r="J32" s="16" t="n">
        <v>483.6</v>
      </c>
      <c r="K32" s="16" t="n">
        <v>493.3</v>
      </c>
      <c r="L32" s="16" t="n">
        <v>544.299999</v>
      </c>
      <c r="M32" s="17">
        <f>SUM(I32:L32)</f>
        <v/>
      </c>
      <c r="N32" s="12" t="n"/>
      <c r="R32" s="13" t="n"/>
    </row>
    <row r="33">
      <c r="B33" s="14" t="inlineStr">
        <is>
          <t>Consensus Revenue</t>
        </is>
      </c>
      <c r="D33" s="15" t="n">
        <v>495.84</v>
      </c>
      <c r="E33" s="16" t="n">
        <v>436.43</v>
      </c>
      <c r="F33" s="16" t="n">
        <v>481.59</v>
      </c>
      <c r="G33" s="16" t="n">
        <v>481.13406</v>
      </c>
      <c r="H33" s="17">
        <f>SUM(D33:G33)</f>
        <v/>
      </c>
      <c r="I33" s="15" t="n">
        <v>525.031503</v>
      </c>
      <c r="J33" s="16" t="n">
        <v>472.02164</v>
      </c>
      <c r="K33" s="16" t="n">
        <v>492.887531</v>
      </c>
      <c r="L33" s="16" t="n">
        <v>543.0277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0.0095</v>
      </c>
      <c r="D37" s="12" t="n"/>
      <c r="H37" s="13" t="n"/>
      <c r="I37" s="12" t="n"/>
      <c r="M37" s="13" t="n"/>
      <c r="N37" s="12" t="n"/>
      <c r="R37" s="13" t="n"/>
    </row>
    <row r="38">
      <c r="B38" s="2" t="inlineStr">
        <is>
          <t xml:space="preserve">   Trailing 8Q Avg Beat</t>
        </is>
      </c>
      <c r="C38" s="29" t="n">
        <v>0.0017</v>
      </c>
      <c r="D38" s="12" t="n"/>
      <c r="H38" s="13" t="n"/>
      <c r="I38" s="12" t="n"/>
      <c r="M38" s="13" t="n"/>
      <c r="N38" s="12" t="n"/>
      <c r="R38" s="13" t="n"/>
    </row>
    <row r="39">
      <c r="B39" s="2" t="inlineStr">
        <is>
          <t xml:space="preserve">   Selected Beat Cadence</t>
        </is>
      </c>
      <c r="C39" s="30" t="n">
        <v>0.0095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GWRE: KIN Base Case Operating Model</t>
        </is>
      </c>
    </row>
    <row r="2">
      <c r="B2" s="2" t="inlineStr">
        <is>
          <t>USD in Millions Unless Stated Otherwise</t>
        </is>
      </c>
    </row>
    <row r="3">
      <c r="B3" s="6" t="inlineStr">
        <is>
          <t>Beat Cadence (%)</t>
        </is>
      </c>
      <c r="C3" s="7" t="n">
        <v>0.0447</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240.897</v>
      </c>
      <c r="E9" s="16" t="n">
        <v>240.678</v>
      </c>
      <c r="F9" s="16" t="n">
        <v>291.515</v>
      </c>
      <c r="G9" s="16" t="n">
        <v>262.901</v>
      </c>
      <c r="H9" s="17">
        <f>SUM(D9:G9)</f>
        <v/>
      </c>
      <c r="I9" s="15" t="n">
        <v>289.48</v>
      </c>
      <c r="J9" s="16" t="n">
        <v>293.508</v>
      </c>
      <c r="K9" s="16" t="n">
        <v>356.57</v>
      </c>
      <c r="L9" s="16" t="n">
        <v>332.639</v>
      </c>
      <c r="M9" s="17">
        <f>SUM(I9:L9)</f>
        <v/>
      </c>
      <c r="N9" s="15" t="n">
        <v>359.095</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12.804909</v>
      </c>
      <c r="P13" s="24" t="n">
        <v>59.920694</v>
      </c>
      <c r="Q13" s="24" t="n">
        <v>-23.931</v>
      </c>
      <c r="R13" s="13" t="n"/>
      <c r="S13" s="25" t="n">
        <v>22.831667</v>
      </c>
    </row>
    <row r="14">
      <c r="D14" s="12" t="n"/>
      <c r="H14" s="13" t="n"/>
      <c r="I14" s="12" t="n"/>
      <c r="M14" s="13" t="n"/>
      <c r="N14" s="12" t="n"/>
      <c r="R14" s="13" t="n"/>
      <c r="S14" s="12" t="n"/>
    </row>
    <row r="15">
      <c r="B15" s="14" t="inlineStr">
        <is>
          <t>Consensus Total Revenue</t>
        </is>
      </c>
      <c r="D15" s="12" t="n"/>
      <c r="H15" s="13" t="n"/>
      <c r="I15" s="12" t="n"/>
      <c r="M15" s="13" t="n"/>
      <c r="N15" s="12" t="n"/>
      <c r="O15" s="16" t="n">
        <v>355.987278</v>
      </c>
      <c r="P15" s="16" t="n">
        <v>397.536108</v>
      </c>
      <c r="Q15" s="16" t="n">
        <v>384.926836</v>
      </c>
      <c r="R15" s="13" t="n"/>
      <c r="S15" s="15" t="n">
        <v>408.608518</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26">
        <f>IFERROR((P9-P15)/P15,"-")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240.897</v>
      </c>
      <c r="E32" s="16" t="n">
        <v>240.678</v>
      </c>
      <c r="F32" s="16" t="n">
        <v>291.515</v>
      </c>
      <c r="G32" s="16" t="n">
        <v>262.901</v>
      </c>
      <c r="H32" s="17">
        <f>SUM(D32:G32)</f>
        <v/>
      </c>
      <c r="I32" s="15" t="n">
        <v>289.48</v>
      </c>
      <c r="J32" s="16" t="n">
        <v>293.508</v>
      </c>
      <c r="K32" s="16" t="n">
        <v>356.57</v>
      </c>
      <c r="L32" s="16" t="n">
        <v>332.639</v>
      </c>
      <c r="M32" s="17">
        <f>SUM(I32:L32)</f>
        <v/>
      </c>
      <c r="N32" s="15" t="n">
        <v>359.095</v>
      </c>
      <c r="R32" s="13" t="n"/>
      <c r="S32" s="12" t="n"/>
    </row>
    <row r="33">
      <c r="B33" s="14" t="inlineStr">
        <is>
          <t>Consensus Revenue</t>
        </is>
      </c>
      <c r="D33" s="15" t="n">
        <v>240.983967</v>
      </c>
      <c r="E33" s="16" t="n">
        <v>231.290355</v>
      </c>
      <c r="F33" s="16" t="n">
        <v>283.837695</v>
      </c>
      <c r="G33" s="16" t="n">
        <v>253.945059</v>
      </c>
      <c r="H33" s="17">
        <f>SUM(D33:G33)</f>
        <v/>
      </c>
      <c r="I33" s="15" t="n">
        <v>285.525344</v>
      </c>
      <c r="J33" s="16" t="n">
        <v>286.324172</v>
      </c>
      <c r="K33" s="16" t="n">
        <v>337.81558</v>
      </c>
      <c r="L33" s="16" t="n">
        <v>316.584201</v>
      </c>
      <c r="M33" s="17">
        <f>SUM(I33:L33)</f>
        <v/>
      </c>
      <c r="N33" s="15" t="n">
        <v>342.7931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0.0447</v>
      </c>
      <c r="D37" s="12" t="n"/>
      <c r="H37" s="13" t="n"/>
      <c r="I37" s="12" t="n"/>
      <c r="M37" s="13" t="n"/>
      <c r="N37" s="12" t="n"/>
      <c r="R37" s="13" t="n"/>
      <c r="S37" s="12" t="n"/>
    </row>
    <row r="38">
      <c r="B38" s="2" t="inlineStr">
        <is>
          <t xml:space="preserve">   Trailing 8Q Avg Beat</t>
        </is>
      </c>
      <c r="C38" s="29" t="n">
        <v>0.03700000000000001</v>
      </c>
      <c r="D38" s="12" t="n"/>
      <c r="H38" s="13" t="n"/>
      <c r="I38" s="12" t="n"/>
      <c r="M38" s="13" t="n"/>
      <c r="N38" s="12" t="n"/>
      <c r="R38" s="13" t="n"/>
      <c r="S38" s="12" t="n"/>
    </row>
    <row r="39">
      <c r="B39" s="2" t="inlineStr">
        <is>
          <t xml:space="preserve">   Selected Beat Cadence</t>
        </is>
      </c>
      <c r="C39" s="30" t="n">
        <v>0.0447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BSY: KIN Base Case Operating Model</t>
        </is>
      </c>
    </row>
    <row r="2">
      <c r="B2" s="2" t="inlineStr">
        <is>
          <t>USD in Millions Unless Stated Otherwise</t>
        </is>
      </c>
    </row>
    <row r="3">
      <c r="B3" s="6" t="inlineStr">
        <is>
          <t>Beat Cadence (%)</t>
        </is>
      </c>
      <c r="C3" s="7" t="n">
        <v>0.0135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337.763</v>
      </c>
      <c r="E9" s="16" t="n">
        <v>330.337</v>
      </c>
      <c r="F9" s="16" t="n">
        <v>335.173</v>
      </c>
      <c r="G9" s="16" t="n">
        <v>349.822</v>
      </c>
      <c r="H9" s="17">
        <f>SUM(D9:G9)</f>
        <v/>
      </c>
      <c r="I9" s="15" t="n">
        <v>370.542</v>
      </c>
      <c r="J9" s="16" t="n">
        <v>364.106</v>
      </c>
      <c r="K9" s="16" t="n">
        <v>375.549</v>
      </c>
      <c r="L9" s="16" t="n">
        <v>391.582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33.914692</v>
      </c>
      <c r="O13" s="24" t="n">
        <v>-7.632556</v>
      </c>
      <c r="P13" s="24" t="n">
        <v>11.78629</v>
      </c>
      <c r="Q13" s="24" t="n">
        <v>16.51399</v>
      </c>
      <c r="R13" s="13" t="n"/>
    </row>
    <row r="14">
      <c r="D14" s="12" t="n"/>
      <c r="H14" s="13" t="n"/>
      <c r="I14" s="12" t="n"/>
      <c r="M14" s="13" t="n"/>
      <c r="N14" s="12" t="n"/>
      <c r="R14" s="13" t="n"/>
    </row>
    <row r="15">
      <c r="B15" s="14" t="inlineStr">
        <is>
          <t>Consensus Total Revenue</t>
        </is>
      </c>
      <c r="D15" s="12" t="n"/>
      <c r="H15" s="13" t="n"/>
      <c r="I15" s="12" t="n"/>
      <c r="M15" s="13" t="n"/>
      <c r="N15" s="15" t="n">
        <v>419.829</v>
      </c>
      <c r="P15" s="16" t="n">
        <v>423.162024</v>
      </c>
      <c r="Q15" s="16" t="n">
        <v>442.293341</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337.763</v>
      </c>
      <c r="E32" s="16" t="n">
        <v>330.337</v>
      </c>
      <c r="F32" s="16" t="n">
        <v>335.173</v>
      </c>
      <c r="G32" s="16" t="n">
        <v>349.822</v>
      </c>
      <c r="H32" s="17">
        <f>SUM(D32:G32)</f>
        <v/>
      </c>
      <c r="I32" s="15" t="n">
        <v>370.542</v>
      </c>
      <c r="J32" s="16" t="n">
        <v>364.106</v>
      </c>
      <c r="K32" s="16" t="n">
        <v>375.549</v>
      </c>
      <c r="L32" s="16" t="n">
        <v>391.582</v>
      </c>
      <c r="M32" s="17">
        <f>SUM(I32:L32)</f>
        <v/>
      </c>
      <c r="N32" s="12" t="n"/>
      <c r="R32" s="13" t="n"/>
    </row>
    <row r="33">
      <c r="B33" s="14" t="inlineStr">
        <is>
          <t>Consensus Revenue</t>
        </is>
      </c>
      <c r="D33" s="15" t="n">
        <v>340.092736</v>
      </c>
      <c r="E33" s="16" t="n">
        <v>325.075441</v>
      </c>
      <c r="F33" s="16" t="n">
        <v>340.358652</v>
      </c>
      <c r="G33" s="16" t="n">
        <v>350.370172</v>
      </c>
      <c r="H33" s="17">
        <f>SUM(D33:G33)</f>
        <v/>
      </c>
      <c r="I33" s="15" t="n">
        <v>366.29588</v>
      </c>
      <c r="J33" s="16" t="n">
        <v>363.631177</v>
      </c>
      <c r="K33" s="16" t="n">
        <v>369.801182</v>
      </c>
      <c r="L33" s="16" t="n">
        <v>381.7881</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26">
        <f>IFERROR((E32-E33)/E33,"-")</f>
        <v/>
      </c>
      <c r="F35" s="31">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0.0135</v>
      </c>
      <c r="D37" s="12" t="n"/>
      <c r="H37" s="13" t="n"/>
      <c r="I37" s="12" t="n"/>
      <c r="M37" s="13" t="n"/>
      <c r="N37" s="12" t="n"/>
      <c r="R37" s="13" t="n"/>
    </row>
    <row r="38">
      <c r="B38" s="2" t="inlineStr">
        <is>
          <t xml:space="preserve">   Trailing 8Q Avg Beat</t>
        </is>
      </c>
      <c r="C38" s="29" t="n">
        <v>0.0058</v>
      </c>
      <c r="D38" s="12" t="n"/>
      <c r="H38" s="13" t="n"/>
      <c r="I38" s="12" t="n"/>
      <c r="M38" s="13" t="n"/>
      <c r="N38" s="12" t="n"/>
      <c r="R38" s="13" t="n"/>
    </row>
    <row r="39">
      <c r="B39" s="2" t="inlineStr">
        <is>
          <t xml:space="preserve">   Selected Beat Cadence</t>
        </is>
      </c>
      <c r="C39" s="30" t="n">
        <v>0.0135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CWAN: KIN Base Case Operating Model</t>
        </is>
      </c>
    </row>
    <row r="2">
      <c r="B2" s="2" t="inlineStr">
        <is>
          <t>USD in Millions Unless Stated Otherwise</t>
        </is>
      </c>
    </row>
    <row r="3">
      <c r="B3" s="6" t="inlineStr">
        <is>
          <t>Beat Cadence (%)</t>
        </is>
      </c>
      <c r="C3" s="7" t="n">
        <v>-0.0331</v>
      </c>
    </row>
    <row r="4">
      <c r="B4" s="6" t="inlineStr">
        <is>
          <t>Beat Window</t>
        </is>
      </c>
      <c r="C4" s="9" t="inlineStr">
        <is>
          <t>8Q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102.719</v>
      </c>
      <c r="E9" s="16" t="n">
        <v>106.791</v>
      </c>
      <c r="F9" s="16" t="n">
        <v>115.828</v>
      </c>
      <c r="G9" s="16" t="n">
        <v>126.465</v>
      </c>
      <c r="H9" s="17">
        <f>SUM(D9:G9)</f>
        <v/>
      </c>
      <c r="I9" s="15" t="n">
        <v>126.864</v>
      </c>
      <c r="J9" s="16" t="n">
        <v>181.937</v>
      </c>
      <c r="K9" s="16" t="n">
        <v>205.11</v>
      </c>
      <c r="L9" s="16" t="n">
        <v>217.457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-7.743255</v>
      </c>
      <c r="O13" s="24" t="n">
        <v>53.42081</v>
      </c>
      <c r="P13" s="24" t="n">
        <v>23.152144</v>
      </c>
      <c r="Q13" s="24" t="n">
        <v>11.97659</v>
      </c>
      <c r="R13" s="13" t="n"/>
    </row>
    <row r="14">
      <c r="D14" s="12" t="n"/>
      <c r="H14" s="13" t="n"/>
      <c r="I14" s="12" t="n"/>
      <c r="M14" s="13" t="n"/>
      <c r="N14" s="12" t="n"/>
      <c r="R14" s="13" t="n"/>
    </row>
    <row r="15">
      <c r="B15" s="14" t="inlineStr">
        <is>
          <t>Consensus Total Revenue</t>
        </is>
      </c>
      <c r="D15" s="12" t="n"/>
      <c r="H15" s="13" t="n"/>
      <c r="I15" s="12" t="n"/>
      <c r="M15" s="13" t="n"/>
      <c r="N15" s="15" t="n">
        <v>216.8929</v>
      </c>
      <c r="P15" s="16" t="n">
        <v>240.831287</v>
      </c>
      <c r="Q15" s="16" t="n">
        <v>255.089701</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102.719</v>
      </c>
      <c r="E32" s="16" t="n">
        <v>106.791</v>
      </c>
      <c r="F32" s="16" t="n">
        <v>115.828</v>
      </c>
      <c r="G32" s="16" t="n">
        <v>126.465</v>
      </c>
      <c r="H32" s="17">
        <f>SUM(D32:G32)</f>
        <v/>
      </c>
      <c r="I32" s="15" t="n">
        <v>126.864</v>
      </c>
      <c r="J32" s="16" t="n">
        <v>181.937</v>
      </c>
      <c r="K32" s="16" t="n">
        <v>205.11</v>
      </c>
      <c r="L32" s="16" t="n">
        <v>217.457</v>
      </c>
      <c r="M32" s="17">
        <f>SUM(I32:L32)</f>
        <v/>
      </c>
      <c r="N32" s="12" t="n"/>
      <c r="R32" s="13" t="n"/>
    </row>
    <row r="33">
      <c r="B33" s="14" t="inlineStr">
        <is>
          <t>Consensus Revenue</t>
        </is>
      </c>
      <c r="D33" s="15" t="n">
        <v>105.52</v>
      </c>
      <c r="E33" s="16" t="n">
        <v>113.43</v>
      </c>
      <c r="F33" s="16" t="n">
        <v>120.42991</v>
      </c>
      <c r="G33" s="16" t="n">
        <v>125.10822</v>
      </c>
      <c r="H33" s="17">
        <f>SUM(D33:G33)</f>
        <v/>
      </c>
      <c r="I33" s="15" t="n">
        <v>125.11904</v>
      </c>
      <c r="J33" s="16" t="n">
        <v>205.9443</v>
      </c>
      <c r="K33" s="16" t="n">
        <v>216.70511</v>
      </c>
      <c r="L33" s="16" t="n">
        <v>216.7012</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31">
        <f>IFERROR((E32-E33)/E33,"-")</f>
        <v/>
      </c>
      <c r="F35" s="31">
        <f>IFERROR((F32-F33)/F33,"-")</f>
        <v/>
      </c>
      <c r="G35" s="26">
        <f>IFERROR((G32-G33)/G33,"-")</f>
        <v/>
      </c>
      <c r="H35" s="20">
        <f>IFERROR((H32-H33)/H33,"-")</f>
        <v/>
      </c>
      <c r="I35" s="28">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-0.0382</v>
      </c>
      <c r="D37" s="12" t="n"/>
      <c r="H37" s="13" t="n"/>
      <c r="I37" s="12" t="n"/>
      <c r="M37" s="13" t="n"/>
      <c r="N37" s="12" t="n"/>
      <c r="R37" s="13" t="n"/>
    </row>
    <row r="38">
      <c r="B38" s="2" t="inlineStr">
        <is>
          <t xml:space="preserve">   Trailing 8Q Avg Beat</t>
        </is>
      </c>
      <c r="C38" s="29" t="n">
        <v>-0.0331</v>
      </c>
      <c r="D38" s="12" t="n"/>
      <c r="H38" s="13" t="n"/>
      <c r="I38" s="12" t="n"/>
      <c r="M38" s="13" t="n"/>
      <c r="N38" s="12" t="n"/>
      <c r="R38" s="13" t="n"/>
    </row>
    <row r="39">
      <c r="B39" s="2" t="inlineStr">
        <is>
          <t xml:space="preserve">   Selected Beat Cadence</t>
        </is>
      </c>
      <c r="C39" s="30" t="n">
        <v>-0.0331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NCNO: KIN Base Case Operating Model</t>
        </is>
      </c>
    </row>
    <row r="2">
      <c r="B2" s="2" t="inlineStr">
        <is>
          <t>USD in Millions Unless Stated Otherwise</t>
        </is>
      </c>
    </row>
    <row r="3">
      <c r="B3" s="6" t="inlineStr">
        <is>
          <t>Beat Cadence (%)</t>
        </is>
      </c>
      <c r="C3" s="7" t="n">
        <v>0.0154</v>
      </c>
    </row>
    <row r="4">
      <c r="B4" s="6" t="inlineStr">
        <is>
          <t>Beat Window</t>
        </is>
      </c>
      <c r="C4" s="9" t="inlineStr">
        <is>
          <t>4Q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123.693</v>
      </c>
      <c r="E9" s="16" t="n">
        <v>128.087</v>
      </c>
      <c r="F9" s="16" t="n">
        <v>132.403</v>
      </c>
      <c r="G9" s="16" t="n">
        <v>138.797</v>
      </c>
      <c r="H9" s="17">
        <f>SUM(D9:G9)</f>
        <v/>
      </c>
      <c r="I9" s="15" t="n">
        <v>141.37</v>
      </c>
      <c r="J9" s="16" t="n">
        <v>144.137</v>
      </c>
      <c r="K9" s="16" t="n">
        <v>148.815</v>
      </c>
      <c r="L9" s="16" t="n">
        <v>152.163</v>
      </c>
      <c r="M9" s="17">
        <f>SUM(I9:L9)</f>
        <v/>
      </c>
      <c r="N9" s="15" t="n">
        <v>149.666</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8.46346</v>
      </c>
      <c r="P13" s="24" t="n">
        <v>4.53766</v>
      </c>
      <c r="Q13" s="24" t="n">
        <v>2.497103</v>
      </c>
      <c r="R13" s="13" t="n"/>
      <c r="S13" s="25" t="n">
        <v>1.541288</v>
      </c>
    </row>
    <row r="14">
      <c r="D14" s="12" t="n"/>
      <c r="H14" s="13" t="n"/>
      <c r="I14" s="12" t="n"/>
      <c r="M14" s="13" t="n"/>
      <c r="N14" s="12" t="n"/>
      <c r="R14" s="13" t="n"/>
      <c r="S14" s="12" t="n"/>
    </row>
    <row r="15">
      <c r="B15" s="14" t="inlineStr">
        <is>
          <t>Consensus Total Revenue</t>
        </is>
      </c>
      <c r="D15" s="12" t="n"/>
      <c r="H15" s="13" t="n"/>
      <c r="I15" s="12" t="n"/>
      <c r="M15" s="13" t="n"/>
      <c r="N15" s="12" t="n"/>
      <c r="O15" s="16" t="n">
        <v>155.7312</v>
      </c>
      <c r="Q15" s="16" t="n">
        <v>162.950324</v>
      </c>
      <c r="R15" s="13" t="n"/>
      <c r="S15" s="15" t="n">
        <v>163.626089</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123.693</v>
      </c>
      <c r="E32" s="16" t="n">
        <v>128.087</v>
      </c>
      <c r="F32" s="16" t="n">
        <v>132.403</v>
      </c>
      <c r="G32" s="16" t="n">
        <v>138.797</v>
      </c>
      <c r="H32" s="17">
        <f>SUM(D32:G32)</f>
        <v/>
      </c>
      <c r="I32" s="15" t="n">
        <v>141.37</v>
      </c>
      <c r="J32" s="16" t="n">
        <v>144.137</v>
      </c>
      <c r="K32" s="16" t="n">
        <v>148.815</v>
      </c>
      <c r="L32" s="16" t="n">
        <v>152.163</v>
      </c>
      <c r="M32" s="17">
        <f>SUM(I32:L32)</f>
        <v/>
      </c>
      <c r="N32" s="15" t="n">
        <v>149.666</v>
      </c>
      <c r="R32" s="13" t="n"/>
      <c r="S32" s="12" t="n"/>
    </row>
    <row r="33">
      <c r="B33" s="14" t="inlineStr">
        <is>
          <t>Consensus Revenue</t>
        </is>
      </c>
      <c r="D33" s="15" t="n">
        <v>124.62</v>
      </c>
      <c r="E33" s="16" t="n">
        <v>126.647532</v>
      </c>
      <c r="F33" s="16" t="n">
        <v>137.43</v>
      </c>
      <c r="G33" s="16" t="n">
        <v>137.353919</v>
      </c>
      <c r="H33" s="17">
        <f>SUM(D33:G33)</f>
        <v/>
      </c>
      <c r="I33" s="15" t="n">
        <v>139.76926</v>
      </c>
      <c r="J33" s="16" t="n">
        <v>143.17836</v>
      </c>
      <c r="K33" s="16" t="n">
        <v>147.31169</v>
      </c>
      <c r="L33" s="16" t="n">
        <v>147.354248</v>
      </c>
      <c r="M33" s="17">
        <f>SUM(I33:L33)</f>
        <v/>
      </c>
      <c r="N33" s="15" t="n">
        <v>147.8721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0.0154</v>
      </c>
      <c r="D37" s="12" t="n"/>
      <c r="H37" s="13" t="n"/>
      <c r="I37" s="12" t="n"/>
      <c r="M37" s="13" t="n"/>
      <c r="N37" s="12" t="n"/>
      <c r="R37" s="13" t="n"/>
      <c r="S37" s="12" t="n"/>
    </row>
    <row r="38">
      <c r="B38" s="2" t="inlineStr">
        <is>
          <t xml:space="preserve">   Trailing 8Q Avg Beat</t>
        </is>
      </c>
      <c r="C38" s="29" t="n">
        <v>0.0073</v>
      </c>
      <c r="D38" s="12" t="n"/>
      <c r="H38" s="13" t="n"/>
      <c r="I38" s="12" t="n"/>
      <c r="M38" s="13" t="n"/>
      <c r="N38" s="12" t="n"/>
      <c r="R38" s="13" t="n"/>
      <c r="S38" s="12" t="n"/>
    </row>
    <row r="39">
      <c r="B39" s="2" t="inlineStr">
        <is>
          <t xml:space="preserve">   Selected Beat Cadence</t>
        </is>
      </c>
      <c r="C39" s="30" t="n">
        <v>0.0154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BRZE: KIN Base Case Operating Model</t>
        </is>
      </c>
    </row>
    <row r="2">
      <c r="B2" s="2" t="inlineStr">
        <is>
          <t>USD in Millions Unless Stated Otherwise</t>
        </is>
      </c>
    </row>
    <row r="3">
      <c r="B3" s="6" t="inlineStr">
        <is>
          <t>Beat Cadence (%)</t>
        </is>
      </c>
      <c r="C3" s="7" t="n">
        <v>0.0227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130.957</v>
      </c>
      <c r="E9" s="16" t="n">
        <v>135.459</v>
      </c>
      <c r="F9" s="16" t="n">
        <v>145.499</v>
      </c>
      <c r="G9" s="16" t="n">
        <v>152.052</v>
      </c>
      <c r="H9" s="17">
        <f>SUM(D9:G9)</f>
        <v/>
      </c>
      <c r="I9" s="15" t="n">
        <v>160.4</v>
      </c>
      <c r="J9" s="16" t="n">
        <v>162.059</v>
      </c>
      <c r="K9" s="16" t="n">
        <v>180.111</v>
      </c>
      <c r="L9" s="16" t="n">
        <v>190.842</v>
      </c>
      <c r="M9" s="17">
        <f>SUM(I9:L9)</f>
        <v/>
      </c>
      <c r="N9" s="15" t="n">
        <v>205.17</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4.677915</v>
      </c>
      <c r="P13" s="24" t="n">
        <v>18.052</v>
      </c>
      <c r="Q13" s="24" t="n">
        <v>10.731</v>
      </c>
      <c r="R13" s="13" t="n"/>
      <c r="S13" s="25" t="n">
        <v>14.328</v>
      </c>
    </row>
    <row r="14">
      <c r="D14" s="12" t="n"/>
      <c r="H14" s="13" t="n"/>
      <c r="I14" s="12" t="n"/>
      <c r="M14" s="13" t="n"/>
      <c r="N14" s="12" t="n"/>
      <c r="R14" s="13" t="n"/>
      <c r="S14" s="12" t="n"/>
    </row>
    <row r="15">
      <c r="B15" s="14" t="inlineStr">
        <is>
          <t>Consensus Total Revenue</t>
        </is>
      </c>
      <c r="D15" s="12" t="n"/>
      <c r="H15" s="13" t="n"/>
      <c r="I15" s="12" t="n"/>
      <c r="M15" s="13" t="n"/>
      <c r="N15" s="12" t="n"/>
      <c r="O15" s="16" t="n">
        <v>205.1901</v>
      </c>
      <c r="Q15" s="16" t="n">
        <v>226.513595</v>
      </c>
      <c r="R15" s="13" t="n"/>
      <c r="S15" s="15" t="n">
        <v>239.71103</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130.957</v>
      </c>
      <c r="E32" s="16" t="n">
        <v>135.459</v>
      </c>
      <c r="F32" s="16" t="n">
        <v>145.499</v>
      </c>
      <c r="G32" s="16" t="n">
        <v>152.052</v>
      </c>
      <c r="H32" s="17">
        <f>SUM(D32:G32)</f>
        <v/>
      </c>
      <c r="I32" s="15" t="n">
        <v>160.4</v>
      </c>
      <c r="J32" s="16" t="n">
        <v>162.059</v>
      </c>
      <c r="K32" s="16" t="n">
        <v>180.111</v>
      </c>
      <c r="L32" s="16" t="n">
        <v>190.842</v>
      </c>
      <c r="M32" s="17">
        <f>SUM(I32:L32)</f>
        <v/>
      </c>
      <c r="N32" s="15" t="n">
        <v>205.17</v>
      </c>
      <c r="R32" s="13" t="n"/>
      <c r="S32" s="12" t="n"/>
    </row>
    <row r="33">
      <c r="B33" s="14" t="inlineStr">
        <is>
          <t>Consensus Revenue</t>
        </is>
      </c>
      <c r="D33" s="15" t="n">
        <v>124.86</v>
      </c>
      <c r="E33" s="16" t="n">
        <v>131.691949</v>
      </c>
      <c r="F33" s="16" t="n">
        <v>141.316569</v>
      </c>
      <c r="G33" s="16" t="n">
        <v>148.209335</v>
      </c>
      <c r="H33" s="17">
        <f>SUM(D33:G33)</f>
        <v/>
      </c>
      <c r="I33" s="15" t="n">
        <v>155.72947</v>
      </c>
      <c r="J33" s="16" t="n">
        <v>158.618203</v>
      </c>
      <c r="K33" s="16" t="n">
        <v>184.2343</v>
      </c>
      <c r="L33" s="16" t="n">
        <v>184.616085</v>
      </c>
      <c r="M33" s="17">
        <f>SUM(I33:L33)</f>
        <v/>
      </c>
      <c r="N33" s="15" t="n">
        <v>198.2444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31">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0.017</v>
      </c>
      <c r="D37" s="12" t="n"/>
      <c r="H37" s="13" t="n"/>
      <c r="I37" s="12" t="n"/>
      <c r="M37" s="13" t="n"/>
      <c r="N37" s="12" t="n"/>
      <c r="R37" s="13" t="n"/>
      <c r="S37" s="12" t="n"/>
    </row>
    <row r="38">
      <c r="B38" s="2" t="inlineStr">
        <is>
          <t xml:space="preserve">   Trailing 8Q Avg Beat</t>
        </is>
      </c>
      <c r="C38" s="29" t="n">
        <v>0.0227</v>
      </c>
      <c r="D38" s="12" t="n"/>
      <c r="H38" s="13" t="n"/>
      <c r="I38" s="12" t="n"/>
      <c r="M38" s="13" t="n"/>
      <c r="N38" s="12" t="n"/>
      <c r="R38" s="13" t="n"/>
      <c r="S38" s="12" t="n"/>
    </row>
    <row r="39">
      <c r="B39" s="2" t="inlineStr">
        <is>
          <t xml:space="preserve">   Selected Beat Cadence</t>
        </is>
      </c>
      <c r="C39" s="30" t="n">
        <v>0.0227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KVYO: KIN Base Case Operating Model</t>
        </is>
      </c>
    </row>
    <row r="2">
      <c r="B2" s="2" t="inlineStr">
        <is>
          <t>USD in Millions Unless Stated Otherwise</t>
        </is>
      </c>
    </row>
    <row r="3">
      <c r="B3" s="6" t="inlineStr">
        <is>
          <t>Beat Cadence (%)</t>
        </is>
      </c>
      <c r="C3" s="7" t="n">
        <v>0.045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209.993</v>
      </c>
      <c r="E9" s="16" t="n">
        <v>222.213</v>
      </c>
      <c r="F9" s="16" t="n">
        <v>235.094</v>
      </c>
      <c r="G9" s="16" t="n">
        <v>270.164</v>
      </c>
      <c r="H9" s="17">
        <f>SUM(D9:G9)</f>
        <v/>
      </c>
      <c r="I9" s="15" t="n">
        <v>279.827</v>
      </c>
      <c r="J9" s="16" t="n">
        <v>293.117</v>
      </c>
      <c r="K9" s="16" t="n">
        <v>310.88</v>
      </c>
      <c r="L9" s="16" t="n">
        <v>350.195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14.07225</v>
      </c>
      <c r="O13" s="24" t="n">
        <v>13.6887</v>
      </c>
      <c r="P13" s="24" t="n">
        <v>18.844767</v>
      </c>
      <c r="Q13" s="24" t="n">
        <v>40.49445</v>
      </c>
      <c r="R13" s="13" t="n"/>
    </row>
    <row r="14">
      <c r="D14" s="12" t="n"/>
      <c r="H14" s="13" t="n"/>
      <c r="I14" s="12" t="n"/>
      <c r="M14" s="13" t="n"/>
      <c r="N14" s="12" t="n"/>
      <c r="R14" s="13" t="n"/>
    </row>
    <row r="15">
      <c r="B15" s="14" t="inlineStr">
        <is>
          <t>Consensus Total Revenue</t>
        </is>
      </c>
      <c r="D15" s="12" t="n"/>
      <c r="H15" s="13" t="n"/>
      <c r="I15" s="12" t="n"/>
      <c r="M15" s="13" t="n"/>
      <c r="N15" s="15" t="n">
        <v>348.5811</v>
      </c>
      <c r="P15" s="16" t="n">
        <v>378.53571</v>
      </c>
      <c r="Q15" s="16" t="n">
        <v>419.744329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209.993</v>
      </c>
      <c r="E32" s="16" t="n">
        <v>222.213</v>
      </c>
      <c r="F32" s="16" t="n">
        <v>235.094</v>
      </c>
      <c r="G32" s="16" t="n">
        <v>270.164</v>
      </c>
      <c r="H32" s="17">
        <f>SUM(D32:G32)</f>
        <v/>
      </c>
      <c r="I32" s="15" t="n">
        <v>279.827</v>
      </c>
      <c r="J32" s="16" t="n">
        <v>293.117</v>
      </c>
      <c r="K32" s="16" t="n">
        <v>310.88</v>
      </c>
      <c r="L32" s="16" t="n">
        <v>350.195</v>
      </c>
      <c r="M32" s="17">
        <f>SUM(I32:L32)</f>
        <v/>
      </c>
      <c r="N32" s="12" t="n"/>
      <c r="R32" s="13" t="n"/>
    </row>
    <row r="33">
      <c r="B33" s="14" t="inlineStr">
        <is>
          <t>Consensus Revenue</t>
        </is>
      </c>
      <c r="D33" s="15" t="n">
        <v>202.078859</v>
      </c>
      <c r="E33" s="16" t="n">
        <v>212.31</v>
      </c>
      <c r="F33" s="16" t="n">
        <v>226.34</v>
      </c>
      <c r="G33" s="16" t="n">
        <v>264.70038</v>
      </c>
      <c r="H33" s="17">
        <f>SUM(D33:G33)</f>
        <v/>
      </c>
      <c r="I33" s="15" t="n">
        <v>267.90974</v>
      </c>
      <c r="J33" s="16" t="n">
        <v>278.67141</v>
      </c>
      <c r="K33" s="16" t="n">
        <v>300.378555</v>
      </c>
      <c r="L33" s="16" t="n">
        <v>333.9808</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0.045</v>
      </c>
      <c r="D37" s="12" t="n"/>
      <c r="H37" s="13" t="n"/>
      <c r="I37" s="12" t="n"/>
      <c r="M37" s="13" t="n"/>
      <c r="N37" s="12" t="n"/>
      <c r="R37" s="13" t="n"/>
    </row>
    <row r="38">
      <c r="B38" s="2" t="inlineStr">
        <is>
          <t xml:space="preserve">   Trailing 8Q Avg Beat</t>
        </is>
      </c>
      <c r="C38" s="29" t="n">
        <v>0.0406</v>
      </c>
      <c r="D38" s="12" t="n"/>
      <c r="H38" s="13" t="n"/>
      <c r="I38" s="12" t="n"/>
      <c r="M38" s="13" t="n"/>
      <c r="N38" s="12" t="n"/>
      <c r="R38" s="13" t="n"/>
    </row>
    <row r="39">
      <c r="B39" s="2" t="inlineStr">
        <is>
          <t xml:space="preserve">   Selected Beat Cadence</t>
        </is>
      </c>
      <c r="C39" s="30" t="n">
        <v>0.045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PCOR: KIN Base Case Operating Model</t>
        </is>
      </c>
    </row>
    <row r="2">
      <c r="B2" s="2" t="inlineStr">
        <is>
          <t>USD in Millions Unless Stated Otherwise</t>
        </is>
      </c>
    </row>
    <row r="3">
      <c r="B3" s="6" t="inlineStr">
        <is>
          <t>Beat Cadence (%)</t>
        </is>
      </c>
      <c r="C3" s="7" t="n">
        <v>0.0174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269.428</v>
      </c>
      <c r="E9" s="16" t="n">
        <v>284.347</v>
      </c>
      <c r="F9" s="16" t="n">
        <v>295.885</v>
      </c>
      <c r="G9" s="16" t="n">
        <v>302.048</v>
      </c>
      <c r="H9" s="17">
        <f>SUM(D9:G9)</f>
        <v/>
      </c>
      <c r="I9" s="15" t="n">
        <v>310.632</v>
      </c>
      <c r="J9" s="16" t="n">
        <v>323.919</v>
      </c>
      <c r="K9" s="16" t="n">
        <v>338.851</v>
      </c>
      <c r="L9" s="16" t="n">
        <v>349.107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9.851152000000001</v>
      </c>
      <c r="O13" s="24" t="n">
        <v>12.497464</v>
      </c>
      <c r="P13" s="24" t="n">
        <v>14.932</v>
      </c>
      <c r="Q13" s="24" t="n">
        <v>10.651679</v>
      </c>
      <c r="R13" s="13" t="n"/>
    </row>
    <row r="14">
      <c r="D14" s="12" t="n"/>
      <c r="H14" s="13" t="n"/>
      <c r="I14" s="12" t="n"/>
      <c r="M14" s="13" t="n"/>
      <c r="N14" s="12" t="n"/>
      <c r="R14" s="13" t="n"/>
    </row>
    <row r="15">
      <c r="B15" s="14" t="inlineStr">
        <is>
          <t>Consensus Total Revenue</t>
        </is>
      </c>
      <c r="D15" s="12" t="n"/>
      <c r="H15" s="13" t="n"/>
      <c r="I15" s="12" t="n"/>
      <c r="M15" s="13" t="n"/>
      <c r="N15" s="15" t="n">
        <v>352.8191</v>
      </c>
      <c r="P15" s="16" t="n">
        <v>382.073625</v>
      </c>
      <c r="Q15" s="16" t="n">
        <v>392.681478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269.428</v>
      </c>
      <c r="E32" s="16" t="n">
        <v>284.347</v>
      </c>
      <c r="F32" s="16" t="n">
        <v>295.885</v>
      </c>
      <c r="G32" s="16" t="n">
        <v>302.048</v>
      </c>
      <c r="H32" s="17">
        <f>SUM(D32:G32)</f>
        <v/>
      </c>
      <c r="I32" s="15" t="n">
        <v>310.632</v>
      </c>
      <c r="J32" s="16" t="n">
        <v>323.919</v>
      </c>
      <c r="K32" s="16" t="n">
        <v>338.851</v>
      </c>
      <c r="L32" s="16" t="n">
        <v>349.107</v>
      </c>
      <c r="M32" s="17">
        <f>SUM(I32:L32)</f>
        <v/>
      </c>
      <c r="N32" s="12" t="n"/>
      <c r="R32" s="13" t="n"/>
    </row>
    <row r="33">
      <c r="B33" s="14" t="inlineStr">
        <is>
          <t>Consensus Revenue</t>
        </is>
      </c>
      <c r="D33" s="15" t="n">
        <v>275.25</v>
      </c>
      <c r="E33" s="16" t="n">
        <v>287.55</v>
      </c>
      <c r="F33" s="16" t="n">
        <v>297.36</v>
      </c>
      <c r="G33" s="16" t="n">
        <v>297.41301</v>
      </c>
      <c r="H33" s="17">
        <f>SUM(D33:G33)</f>
        <v/>
      </c>
      <c r="I33" s="15" t="n">
        <v>302.63971</v>
      </c>
      <c r="J33" s="16" t="n">
        <v>328.32927</v>
      </c>
      <c r="K33" s="16" t="n">
        <v>328.278103</v>
      </c>
      <c r="L33" s="16" t="n">
        <v>340.8039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31">
        <f>IFERROR((E32-E33)/E33,"-")</f>
        <v/>
      </c>
      <c r="F35" s="31">
        <f>IFERROR((F32-F33)/F33,"-")</f>
        <v/>
      </c>
      <c r="G35" s="26">
        <f>IFERROR((G32-G33)/G33,"-")</f>
        <v/>
      </c>
      <c r="H35" s="20">
        <f>IFERROR((H32-H33)/H33,"-")</f>
        <v/>
      </c>
      <c r="I35" s="28">
        <f>IFERROR((I32-I33)/I33,"-")</f>
        <v/>
      </c>
      <c r="J35" s="31">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0.0174</v>
      </c>
      <c r="D37" s="12" t="n"/>
      <c r="H37" s="13" t="n"/>
      <c r="I37" s="12" t="n"/>
      <c r="M37" s="13" t="n"/>
      <c r="N37" s="12" t="n"/>
      <c r="R37" s="13" t="n"/>
    </row>
    <row r="38">
      <c r="B38" s="2" t="inlineStr">
        <is>
          <t xml:space="preserve">   Trailing 8Q Avg Beat</t>
        </is>
      </c>
      <c r="C38" s="29" t="n">
        <v>0.006</v>
      </c>
      <c r="D38" s="12" t="n"/>
      <c r="H38" s="13" t="n"/>
      <c r="I38" s="12" t="n"/>
      <c r="M38" s="13" t="n"/>
      <c r="N38" s="12" t="n"/>
      <c r="R38" s="13" t="n"/>
    </row>
    <row r="39">
      <c r="B39" s="2" t="inlineStr">
        <is>
          <t xml:space="preserve">   Selected Beat Cadence</t>
        </is>
      </c>
      <c r="C39" s="30" t="n">
        <v>0.0174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SPSC: KIN Base Case Operating Model</t>
        </is>
      </c>
    </row>
    <row r="2">
      <c r="B2" s="2" t="inlineStr">
        <is>
          <t>USD in Millions Unless Stated Otherwise</t>
        </is>
      </c>
    </row>
    <row r="3">
      <c r="B3" s="6" t="inlineStr">
        <is>
          <t>Beat Cadence (%)</t>
        </is>
      </c>
      <c r="C3" s="7" t="n">
        <v>-0.0004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149.576</v>
      </c>
      <c r="E9" s="16" t="n">
        <v>153.596</v>
      </c>
      <c r="F9" s="16" t="n">
        <v>163.686</v>
      </c>
      <c r="G9" s="16" t="n">
        <v>170.907</v>
      </c>
      <c r="H9" s="17">
        <f>SUM(D9:G9)</f>
        <v/>
      </c>
      <c r="I9" s="15" t="n">
        <v>181.549</v>
      </c>
      <c r="J9" s="16" t="n">
        <v>187.4</v>
      </c>
      <c r="K9" s="16" t="n">
        <v>189.904</v>
      </c>
      <c r="L9" s="16" t="n">
        <v>192.652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-0.018282</v>
      </c>
      <c r="O13" s="24" t="n">
        <v>3.953903</v>
      </c>
      <c r="P13" s="24" t="n">
        <v>4.766873</v>
      </c>
      <c r="Q13" s="24" t="n">
        <v>5.332793</v>
      </c>
      <c r="R13" s="13" t="n"/>
    </row>
    <row r="14">
      <c r="D14" s="12" t="n"/>
      <c r="H14" s="13" t="n"/>
      <c r="I14" s="12" t="n"/>
      <c r="M14" s="13" t="n"/>
      <c r="N14" s="12" t="n"/>
      <c r="R14" s="13" t="n"/>
    </row>
    <row r="15">
      <c r="B15" s="14" t="inlineStr">
        <is>
          <t>Consensus Total Revenue</t>
        </is>
      </c>
      <c r="D15" s="12" t="n"/>
      <c r="H15" s="13" t="n"/>
      <c r="I15" s="12" t="n"/>
      <c r="M15" s="13" t="n"/>
      <c r="N15" s="15" t="n">
        <v>192.710802</v>
      </c>
      <c r="O15" s="16" t="n">
        <v>198.439403</v>
      </c>
      <c r="P15" s="16" t="n">
        <v>202.477244</v>
      </c>
      <c r="Q15" s="16" t="n">
        <v>208.567485</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O21" s="31">
        <f>IFERROR((O9-O15)/O15,"-")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149.576</v>
      </c>
      <c r="E32" s="16" t="n">
        <v>153.596</v>
      </c>
      <c r="F32" s="16" t="n">
        <v>163.686</v>
      </c>
      <c r="G32" s="16" t="n">
        <v>170.907</v>
      </c>
      <c r="H32" s="17">
        <f>SUM(D32:G32)</f>
        <v/>
      </c>
      <c r="I32" s="15" t="n">
        <v>181.549</v>
      </c>
      <c r="J32" s="16" t="n">
        <v>187.4</v>
      </c>
      <c r="K32" s="16" t="n">
        <v>189.904</v>
      </c>
      <c r="L32" s="16" t="n">
        <v>192.652</v>
      </c>
      <c r="M32" s="17">
        <f>SUM(I32:L32)</f>
        <v/>
      </c>
      <c r="N32" s="12" t="n"/>
      <c r="R32" s="13" t="n"/>
    </row>
    <row r="33">
      <c r="B33" s="14" t="inlineStr">
        <is>
          <t>Consensus Revenue</t>
        </is>
      </c>
      <c r="D33" s="15" t="n">
        <v>146.56</v>
      </c>
      <c r="E33" s="16" t="n">
        <v>151.92</v>
      </c>
      <c r="F33" s="16" t="n">
        <v>169.29</v>
      </c>
      <c r="G33" s="16" t="n">
        <v>169.29151</v>
      </c>
      <c r="H33" s="17">
        <f>SUM(D33:G33)</f>
        <v/>
      </c>
      <c r="I33" s="15" t="n">
        <v>179.02009</v>
      </c>
      <c r="J33" s="16" t="n">
        <v>185.82585</v>
      </c>
      <c r="K33" s="16" t="n">
        <v>193.60182</v>
      </c>
      <c r="L33" s="16" t="n">
        <v>193.5971</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26">
        <f>IFERROR((J32-J33)/J33,"-")</f>
        <v/>
      </c>
      <c r="K35" s="31">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-0.0004</v>
      </c>
      <c r="D37" s="12" t="n"/>
      <c r="H37" s="13" t="n"/>
      <c r="I37" s="12" t="n"/>
      <c r="M37" s="13" t="n"/>
      <c r="N37" s="12" t="n"/>
      <c r="R37" s="13" t="n"/>
    </row>
    <row r="38">
      <c r="B38" s="2" t="inlineStr">
        <is>
          <t xml:space="preserve">   Trailing 8Q Avg Beat</t>
        </is>
      </c>
      <c r="C38" s="29" t="n">
        <v>0.0008</v>
      </c>
      <c r="D38" s="12" t="n"/>
      <c r="H38" s="13" t="n"/>
      <c r="I38" s="12" t="n"/>
      <c r="M38" s="13" t="n"/>
      <c r="N38" s="12" t="n"/>
      <c r="R38" s="13" t="n"/>
    </row>
    <row r="39">
      <c r="B39" s="2" t="inlineStr">
        <is>
          <t xml:space="preserve">   Selected Beat Cadence</t>
        </is>
      </c>
      <c r="C39" s="30" t="n">
        <v>-0.0004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MANH: KIN Base Case Operating Model</t>
        </is>
      </c>
    </row>
    <row r="2">
      <c r="B2" s="2" t="inlineStr">
        <is>
          <t>USD in Millions Unless Stated Otherwise</t>
        </is>
      </c>
    </row>
    <row r="3">
      <c r="B3" s="6" t="inlineStr">
        <is>
          <t>Beat Cadence (%)</t>
        </is>
      </c>
      <c r="C3" s="7" t="n">
        <v>0.0234</v>
      </c>
    </row>
    <row r="4">
      <c r="B4" s="6" t="inlineStr">
        <is>
          <t>Beat Window</t>
        </is>
      </c>
      <c r="C4" s="9" t="inlineStr">
        <is>
          <t>4Q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254.552</v>
      </c>
      <c r="E9" s="16" t="n">
        <v>265.317999</v>
      </c>
      <c r="F9" s="16" t="n">
        <v>266.680999</v>
      </c>
      <c r="G9" s="16" t="n">
        <v>255.801002</v>
      </c>
      <c r="H9" s="17">
        <f>SUM(D9:G9)</f>
        <v/>
      </c>
      <c r="I9" s="15" t="n">
        <v>262.787</v>
      </c>
      <c r="J9" s="16" t="n">
        <v>272.421</v>
      </c>
      <c r="K9" s="16" t="n">
        <v>275.795</v>
      </c>
      <c r="L9" s="16" t="n">
        <v>270.389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9.720298</v>
      </c>
      <c r="O13" s="24" t="n">
        <v>7.31322</v>
      </c>
      <c r="P13" s="24" t="n">
        <v>3.27278</v>
      </c>
      <c r="Q13" s="24" t="n">
        <v>-3.52948</v>
      </c>
      <c r="R13" s="13" t="n"/>
    </row>
    <row r="14">
      <c r="D14" s="12" t="n"/>
      <c r="H14" s="13" t="n"/>
      <c r="I14" s="12" t="n"/>
      <c r="M14" s="13" t="n"/>
      <c r="N14" s="12" t="n"/>
      <c r="R14" s="13" t="n"/>
    </row>
    <row r="15">
      <c r="B15" s="14" t="inlineStr">
        <is>
          <t>Consensus Total Revenue</t>
        </is>
      </c>
      <c r="D15" s="12" t="n"/>
      <c r="H15" s="13" t="n"/>
      <c r="I15" s="12" t="n"/>
      <c r="M15" s="13" t="n"/>
      <c r="N15" s="15" t="n">
        <v>273.70461</v>
      </c>
      <c r="O15" s="16" t="n">
        <v>288.252693</v>
      </c>
      <c r="P15" s="16" t="n">
        <v>296.069327</v>
      </c>
      <c r="Q15" s="16" t="n">
        <v>287.637662</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31">
        <f>IFERROR((O9-O15)/O15,"-")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254.552</v>
      </c>
      <c r="E32" s="16" t="n">
        <v>265.317999</v>
      </c>
      <c r="F32" s="16" t="n">
        <v>266.680999</v>
      </c>
      <c r="G32" s="16" t="n">
        <v>255.801002</v>
      </c>
      <c r="H32" s="17">
        <f>SUM(D32:G32)</f>
        <v/>
      </c>
      <c r="I32" s="15" t="n">
        <v>262.787</v>
      </c>
      <c r="J32" s="16" t="n">
        <v>272.421</v>
      </c>
      <c r="K32" s="16" t="n">
        <v>275.795</v>
      </c>
      <c r="L32" s="16" t="n">
        <v>270.389</v>
      </c>
      <c r="M32" s="17">
        <f>SUM(I32:L32)</f>
        <v/>
      </c>
      <c r="N32" s="12" t="n"/>
      <c r="R32" s="13" t="n"/>
    </row>
    <row r="33">
      <c r="B33" s="14" t="inlineStr">
        <is>
          <t>Consensus Revenue</t>
        </is>
      </c>
      <c r="D33" s="15" t="n">
        <v>243.413231</v>
      </c>
      <c r="E33" s="16" t="n">
        <v>255.825001</v>
      </c>
      <c r="F33" s="16" t="n">
        <v>262.897355</v>
      </c>
      <c r="G33" s="16" t="n">
        <v>253.06055</v>
      </c>
      <c r="H33" s="17">
        <f>SUM(D33:G33)</f>
        <v/>
      </c>
      <c r="I33" s="15" t="n">
        <v>256.509182</v>
      </c>
      <c r="J33" s="16" t="n">
        <v>263.721459</v>
      </c>
      <c r="K33" s="16" t="n">
        <v>271.781368</v>
      </c>
      <c r="L33" s="16" t="n">
        <v>264.7263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0.0234</v>
      </c>
      <c r="D37" s="12" t="n"/>
      <c r="H37" s="13" t="n"/>
      <c r="I37" s="12" t="n"/>
      <c r="M37" s="13" t="n"/>
      <c r="N37" s="12" t="n"/>
      <c r="R37" s="13" t="n"/>
    </row>
    <row r="38">
      <c r="B38" s="2" t="inlineStr">
        <is>
          <t xml:space="preserve">   Trailing 8Q Avg Beat</t>
        </is>
      </c>
      <c r="C38" s="29" t="n">
        <v>0.0252</v>
      </c>
      <c r="D38" s="12" t="n"/>
      <c r="H38" s="13" t="n"/>
      <c r="I38" s="12" t="n"/>
      <c r="M38" s="13" t="n"/>
      <c r="N38" s="12" t="n"/>
      <c r="R38" s="13" t="n"/>
    </row>
    <row r="39">
      <c r="B39" s="2" t="inlineStr">
        <is>
          <t xml:space="preserve">   Selected Beat Cadence</t>
        </is>
      </c>
      <c r="C39" s="30" t="n">
        <v>0.0234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AZPN: KIN Base Case Operating Model</t>
        </is>
      </c>
    </row>
    <row r="2">
      <c r="B2" s="2" t="inlineStr">
        <is>
          <t>USD in Millions Unless Stated Otherwise</t>
        </is>
      </c>
    </row>
    <row r="3">
      <c r="B3" s="6" t="inlineStr">
        <is>
          <t>Beat Cadence (%)</t>
        </is>
      </c>
      <c r="C3" s="7" t="n">
        <v>0.008699999999999999</v>
      </c>
    </row>
    <row r="4">
      <c r="B4" s="6" t="inlineStr">
        <is>
          <t>Beat Window</t>
        </is>
      </c>
      <c r="C4" s="9" t="inlineStr">
        <is>
          <t>8Q</t>
        </is>
      </c>
    </row>
    <row r="5">
      <c r="B5" s="6" t="inlineStr">
        <is>
          <t>Momentum</t>
        </is>
      </c>
      <c r="C5" s="9" t="inlineStr">
        <is>
          <t>STABLE</t>
        </is>
      </c>
    </row>
    <row r="7">
      <c r="D7" s="10" t="inlineStr">
        <is>
          <t>Q1-23</t>
        </is>
      </c>
      <c r="E7" s="5" t="inlineStr">
        <is>
          <t>Q2-23</t>
        </is>
      </c>
      <c r="F7" s="5" t="inlineStr">
        <is>
          <t>Q3-23</t>
        </is>
      </c>
      <c r="G7" s="5" t="inlineStr">
        <is>
          <t>Q4-23</t>
        </is>
      </c>
      <c r="H7" s="11" t="inlineStr">
        <is>
          <t>FY23</t>
        </is>
      </c>
      <c r="I7" s="10" t="inlineStr">
        <is>
          <t>Q1-24</t>
        </is>
      </c>
      <c r="J7" s="5" t="inlineStr">
        <is>
          <t>Q2-24</t>
        </is>
      </c>
      <c r="K7" s="5" t="inlineStr">
        <is>
          <t>Q3-24</t>
        </is>
      </c>
      <c r="L7" s="5" t="inlineStr">
        <is>
          <t>Q4-24</t>
        </is>
      </c>
      <c r="M7" s="11" t="inlineStr">
        <is>
          <t>FY24</t>
        </is>
      </c>
      <c r="N7" s="10" t="inlineStr">
        <is>
          <t>Q1-25E</t>
        </is>
      </c>
      <c r="O7" s="5" t="inlineStr">
        <is>
          <t>Q2-25E</t>
        </is>
      </c>
      <c r="P7" s="5" t="inlineStr">
        <is>
          <t>Q3-25E</t>
        </is>
      </c>
      <c r="Q7" s="5" t="inlineStr">
        <is>
          <t>Q4-25E</t>
        </is>
      </c>
      <c r="R7" s="11" t="inlineStr">
        <is>
          <t>FY25E</t>
        </is>
      </c>
    </row>
    <row r="8">
      <c r="D8" s="12" t="n"/>
      <c r="H8" s="13" t="n"/>
      <c r="I8" s="12" t="n"/>
      <c r="M8" s="13" t="n"/>
      <c r="N8" s="12" t="n"/>
      <c r="R8" s="13" t="n"/>
    </row>
    <row r="9">
      <c r="B9" s="14" t="inlineStr">
        <is>
          <t>Total Revenue</t>
        </is>
      </c>
      <c r="D9" s="15" t="n">
        <v>320.643</v>
      </c>
      <c r="E9" s="16" t="n">
        <v>250.819</v>
      </c>
      <c r="F9" s="16" t="n">
        <v>249.308</v>
      </c>
      <c r="G9" s="16" t="n">
        <v>257.163</v>
      </c>
      <c r="H9" s="17">
        <f>SUM(D9:G9)</f>
        <v/>
      </c>
      <c r="I9" s="15" t="n">
        <v>278.106</v>
      </c>
      <c r="J9" s="16" t="n">
        <v>342.905</v>
      </c>
      <c r="K9" s="16" t="n">
        <v>215.877</v>
      </c>
      <c r="L9" s="16" t="n">
        <v>303.555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-12.66912</v>
      </c>
      <c r="O13" s="24" t="n">
        <v>25.120648</v>
      </c>
      <c r="P13" s="24" t="n">
        <v>-148.723667</v>
      </c>
      <c r="Q13" s="24" t="n">
        <v>36.104176</v>
      </c>
      <c r="R13" s="13" t="n"/>
    </row>
    <row r="14">
      <c r="D14" s="12" t="n"/>
      <c r="H14" s="13" t="n"/>
      <c r="I14" s="12" t="n"/>
      <c r="M14" s="13" t="n"/>
      <c r="N14" s="12" t="n"/>
      <c r="R14" s="13" t="n"/>
    </row>
    <row r="15">
      <c r="B15" s="14" t="inlineStr">
        <is>
          <t>Consensus Total Revenue</t>
        </is>
      </c>
      <c r="D15" s="12" t="n"/>
      <c r="H15" s="13" t="n"/>
      <c r="I15" s="12" t="n"/>
      <c r="M15" s="13" t="n"/>
      <c r="N15" s="15" t="n">
        <v>288.377</v>
      </c>
      <c r="O15" s="16" t="n">
        <v>390.857533</v>
      </c>
      <c r="P15" s="16" t="n">
        <v>276.560033</v>
      </c>
      <c r="Q15" s="16" t="n">
        <v>304.4182</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31">
        <f>IFERROR((O9-O15)/O15,"-")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320.643</v>
      </c>
      <c r="E32" s="16" t="n">
        <v>250.819</v>
      </c>
      <c r="F32" s="16" t="n">
        <v>249.308</v>
      </c>
      <c r="G32" s="16" t="n">
        <v>257.163</v>
      </c>
      <c r="H32" s="17">
        <f>SUM(D32:G32)</f>
        <v/>
      </c>
      <c r="I32" s="15" t="n">
        <v>278.106</v>
      </c>
      <c r="J32" s="16" t="n">
        <v>342.905</v>
      </c>
      <c r="K32" s="16" t="n">
        <v>215.877</v>
      </c>
      <c r="L32" s="16" t="n">
        <v>303.555</v>
      </c>
      <c r="M32" s="17">
        <f>SUM(I32:L32)</f>
        <v/>
      </c>
      <c r="N32" s="12" t="n"/>
      <c r="R32" s="13" t="n"/>
    </row>
    <row r="33">
      <c r="B33" s="14" t="inlineStr">
        <is>
          <t>Consensus Revenue</t>
        </is>
      </c>
      <c r="D33" s="15" t="n">
        <v>264.75</v>
      </c>
      <c r="E33" s="16" t="n">
        <v>326.554085</v>
      </c>
      <c r="F33" s="16" t="n">
        <v>264.626116</v>
      </c>
      <c r="G33" s="16" t="n">
        <v>265.45</v>
      </c>
      <c r="H33" s="17">
        <f>SUM(D33:G33)</f>
        <v/>
      </c>
      <c r="I33" s="15" t="n">
        <v>256.559966</v>
      </c>
      <c r="J33" s="16" t="n">
        <v>319.101335</v>
      </c>
      <c r="K33" s="16" t="n">
        <v>265.035547</v>
      </c>
      <c r="L33" s="16" t="n">
        <v>305.7035</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31">
        <f>IFERROR((G32-G33)/G33,"-")</f>
        <v/>
      </c>
      <c r="H35" s="20">
        <f>IFERROR((H32-H33)/H33,"-")</f>
        <v/>
      </c>
      <c r="I35" s="28">
        <f>IFERROR((I32-I33)/I33,"-")</f>
        <v/>
      </c>
      <c r="J35" s="26">
        <f>IFERROR((J32-J33)/J33,"-")</f>
        <v/>
      </c>
      <c r="K35" s="31">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-0.008500000000000001</v>
      </c>
      <c r="D37" s="12" t="n"/>
      <c r="H37" s="13" t="n"/>
      <c r="I37" s="12" t="n"/>
      <c r="M37" s="13" t="n"/>
      <c r="N37" s="12" t="n"/>
      <c r="R37" s="13" t="n"/>
    </row>
    <row r="38">
      <c r="B38" s="2" t="inlineStr">
        <is>
          <t xml:space="preserve">   Trailing 8Q Avg Beat</t>
        </is>
      </c>
      <c r="C38" s="29" t="n">
        <v>0.008699999999999999</v>
      </c>
      <c r="D38" s="12" t="n"/>
      <c r="H38" s="13" t="n"/>
      <c r="I38" s="12" t="n"/>
      <c r="M38" s="13" t="n"/>
      <c r="N38" s="12" t="n"/>
      <c r="R38" s="13" t="n"/>
    </row>
    <row r="39">
      <c r="B39" s="2" t="inlineStr">
        <is>
          <t xml:space="preserve">   Selected Beat Cadence</t>
        </is>
      </c>
      <c r="C39" s="30" t="n">
        <v>0.008699999999999999</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APPN: KIN Base Case Operating Model</t>
        </is>
      </c>
    </row>
    <row r="2">
      <c r="B2" s="2" t="inlineStr">
        <is>
          <t>USD in Millions Unless Stated Otherwise</t>
        </is>
      </c>
    </row>
    <row r="3">
      <c r="B3" s="6" t="inlineStr">
        <is>
          <t>Beat Cadence (%)</t>
        </is>
      </c>
      <c r="C3" s="7" t="n">
        <v>0.005600000000000001</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149.835</v>
      </c>
      <c r="E9" s="16" t="n">
        <v>146.45</v>
      </c>
      <c r="F9" s="16" t="n">
        <v>154.052</v>
      </c>
      <c r="G9" s="16" t="n">
        <v>166.685</v>
      </c>
      <c r="H9" s="17">
        <f>SUM(D9:G9)</f>
        <v/>
      </c>
      <c r="I9" s="15" t="n">
        <v>166.426</v>
      </c>
      <c r="J9" s="16" t="n">
        <v>170.64</v>
      </c>
      <c r="K9" s="16" t="n">
        <v>187.004</v>
      </c>
      <c r="L9" s="16" t="n">
        <v>202.867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-10.22943</v>
      </c>
      <c r="O13" s="24" t="n">
        <v>-2.00175</v>
      </c>
      <c r="P13" s="24" t="n">
        <v>8.935964</v>
      </c>
      <c r="Q13" s="24" t="n">
        <v>15.863</v>
      </c>
      <c r="R13" s="13" t="n"/>
    </row>
    <row r="14">
      <c r="D14" s="12" t="n"/>
      <c r="H14" s="13" t="n"/>
      <c r="I14" s="12" t="n"/>
      <c r="M14" s="13" t="n"/>
      <c r="N14" s="12" t="n"/>
      <c r="R14" s="13" t="n"/>
    </row>
    <row r="15">
      <c r="B15" s="14" t="inlineStr">
        <is>
          <t>Consensus Total Revenue</t>
        </is>
      </c>
      <c r="D15" s="12" t="n"/>
      <c r="H15" s="13" t="n"/>
      <c r="I15" s="12" t="n"/>
      <c r="M15" s="13" t="n"/>
      <c r="N15" s="15" t="n">
        <v>191.564807</v>
      </c>
      <c r="O15" s="16" t="n">
        <v>191.592082</v>
      </c>
      <c r="P15" s="16" t="n">
        <v>206.764215</v>
      </c>
      <c r="Q15" s="16" t="n">
        <v>221.028634</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31">
        <f>IFERROR((O9-O15)/O15,"-")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149.835</v>
      </c>
      <c r="E32" s="16" t="n">
        <v>146.45</v>
      </c>
      <c r="F32" s="16" t="n">
        <v>154.052</v>
      </c>
      <c r="G32" s="16" t="n">
        <v>166.685</v>
      </c>
      <c r="H32" s="17">
        <f>SUM(D32:G32)</f>
        <v/>
      </c>
      <c r="I32" s="15" t="n">
        <v>166.426</v>
      </c>
      <c r="J32" s="16" t="n">
        <v>170.64</v>
      </c>
      <c r="K32" s="16" t="n">
        <v>187.004</v>
      </c>
      <c r="L32" s="16" t="n">
        <v>202.867</v>
      </c>
      <c r="M32" s="17">
        <f>SUM(I32:L32)</f>
        <v/>
      </c>
      <c r="N32" s="12" t="n"/>
      <c r="R32" s="13" t="n"/>
    </row>
    <row r="33">
      <c r="B33" s="14" t="inlineStr">
        <is>
          <t>Consensus Revenue</t>
        </is>
      </c>
      <c r="D33" s="15" t="n">
        <v>149.76</v>
      </c>
      <c r="E33" s="16" t="n">
        <v>142.95</v>
      </c>
      <c r="F33" s="16" t="n">
        <v>164.28</v>
      </c>
      <c r="G33" s="16" t="n">
        <v>166.99801</v>
      </c>
      <c r="H33" s="17">
        <f>SUM(D33:G33)</f>
        <v/>
      </c>
      <c r="I33" s="15" t="n">
        <v>159.92207</v>
      </c>
      <c r="J33" s="16" t="n">
        <v>173.41411</v>
      </c>
      <c r="K33" s="16" t="n">
        <v>189.33048</v>
      </c>
      <c r="L33" s="16" t="n">
        <v>189.2573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31">
        <f>IFERROR((G32-G33)/G33,"-")</f>
        <v/>
      </c>
      <c r="H35" s="20">
        <f>IFERROR((H32-H33)/H33,"-")</f>
        <v/>
      </c>
      <c r="I35" s="28">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0.0211</v>
      </c>
      <c r="D37" s="12" t="n"/>
      <c r="H37" s="13" t="n"/>
      <c r="I37" s="12" t="n"/>
      <c r="M37" s="13" t="n"/>
      <c r="N37" s="12" t="n"/>
      <c r="R37" s="13" t="n"/>
    </row>
    <row r="38">
      <c r="B38" s="2" t="inlineStr">
        <is>
          <t xml:space="preserve">   Trailing 8Q Avg Beat</t>
        </is>
      </c>
      <c r="C38" s="29" t="n">
        <v>0.005600000000000001</v>
      </c>
      <c r="D38" s="12" t="n"/>
      <c r="H38" s="13" t="n"/>
      <c r="I38" s="12" t="n"/>
      <c r="M38" s="13" t="n"/>
      <c r="N38" s="12" t="n"/>
      <c r="R38" s="13" t="n"/>
    </row>
    <row r="39">
      <c r="B39" s="2" t="inlineStr">
        <is>
          <t xml:space="preserve">   Selected Beat Cadence</t>
        </is>
      </c>
      <c r="C39" s="30" t="n">
        <v>0.005600000000000001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DOCN: KIN Base Case Operating Model</t>
        </is>
      </c>
    </row>
    <row r="2">
      <c r="B2" s="2" t="inlineStr">
        <is>
          <t>USD in Millions Unless Stated Otherwise</t>
        </is>
      </c>
    </row>
    <row r="3">
      <c r="B3" s="6" t="inlineStr">
        <is>
          <t>Beat Cadence (%)</t>
        </is>
      </c>
      <c r="C3" s="7" t="n">
        <v>-0.0086</v>
      </c>
    </row>
    <row r="4">
      <c r="B4" s="6" t="inlineStr">
        <is>
          <t>Beat Window</t>
        </is>
      </c>
      <c r="C4" s="9" t="inlineStr">
        <is>
          <t>8Q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184.73</v>
      </c>
      <c r="E9" s="16" t="n">
        <v>192.476</v>
      </c>
      <c r="F9" s="16" t="n">
        <v>198.484</v>
      </c>
      <c r="G9" s="16" t="n">
        <v>204.925</v>
      </c>
      <c r="H9" s="17">
        <f>SUM(D9:G9)</f>
        <v/>
      </c>
      <c r="I9" s="15" t="n">
        <v>210.703</v>
      </c>
      <c r="J9" s="16" t="n">
        <v>218.7</v>
      </c>
      <c r="K9" s="16" t="n">
        <v>229.634</v>
      </c>
      <c r="L9" s="16" t="n">
        <v>242.39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5.152071</v>
      </c>
      <c r="O13" s="24" t="n">
        <v>8.23691</v>
      </c>
      <c r="P13" s="24" t="n">
        <v>11.599881</v>
      </c>
      <c r="Q13" s="24" t="n">
        <v>13.53284</v>
      </c>
      <c r="R13" s="13" t="n"/>
    </row>
    <row r="14">
      <c r="D14" s="12" t="n"/>
      <c r="H14" s="13" t="n"/>
      <c r="I14" s="12" t="n"/>
      <c r="M14" s="13" t="n"/>
      <c r="N14" s="12" t="n"/>
      <c r="R14" s="13" t="n"/>
    </row>
    <row r="15">
      <c r="B15" s="14" t="inlineStr">
        <is>
          <t>Consensus Total Revenue</t>
        </is>
      </c>
      <c r="D15" s="12" t="n"/>
      <c r="H15" s="13" t="n"/>
      <c r="I15" s="12" t="n"/>
      <c r="M15" s="13" t="n"/>
      <c r="N15" s="15" t="n">
        <v>249.6894</v>
      </c>
      <c r="P15" s="16" t="n">
        <v>280.750624</v>
      </c>
      <c r="Q15" s="16" t="n">
        <v>302.971567</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184.73</v>
      </c>
      <c r="E32" s="16" t="n">
        <v>192.476</v>
      </c>
      <c r="F32" s="16" t="n">
        <v>198.484</v>
      </c>
      <c r="G32" s="16" t="n">
        <v>204.925</v>
      </c>
      <c r="H32" s="17">
        <f>SUM(D32:G32)</f>
        <v/>
      </c>
      <c r="I32" s="15" t="n">
        <v>210.703</v>
      </c>
      <c r="J32" s="16" t="n">
        <v>218.7</v>
      </c>
      <c r="K32" s="16" t="n">
        <v>229.634</v>
      </c>
      <c r="L32" s="16" t="n">
        <v>242.39</v>
      </c>
      <c r="M32" s="17">
        <f>SUM(I32:L32)</f>
        <v/>
      </c>
      <c r="N32" s="12" t="n"/>
      <c r="R32" s="13" t="n"/>
    </row>
    <row r="33">
      <c r="B33" s="14" t="inlineStr">
        <is>
          <t>Consensus Revenue</t>
        </is>
      </c>
      <c r="D33" s="15" t="n">
        <v>182.58</v>
      </c>
      <c r="E33" s="16" t="n">
        <v>188.56</v>
      </c>
      <c r="F33" s="16" t="n">
        <v>200.41</v>
      </c>
      <c r="G33" s="16" t="n">
        <v>207.6837</v>
      </c>
      <c r="H33" s="17">
        <f>SUM(D33:G33)</f>
        <v/>
      </c>
      <c r="I33" s="15" t="n">
        <v>217.14502</v>
      </c>
      <c r="J33" s="16" t="n">
        <v>226.49952</v>
      </c>
      <c r="K33" s="16" t="n">
        <v>237.72964</v>
      </c>
      <c r="L33" s="16" t="n">
        <v>237.7321</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31">
        <f>IFERROR((G32-G33)/G33,"-")</f>
        <v/>
      </c>
      <c r="H35" s="20">
        <f>IFERROR((H32-H33)/H33,"-")</f>
        <v/>
      </c>
      <c r="I35" s="27">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-0.0197</v>
      </c>
      <c r="D37" s="12" t="n"/>
      <c r="H37" s="13" t="n"/>
      <c r="I37" s="12" t="n"/>
      <c r="M37" s="13" t="n"/>
      <c r="N37" s="12" t="n"/>
      <c r="R37" s="13" t="n"/>
    </row>
    <row r="38">
      <c r="B38" s="2" t="inlineStr">
        <is>
          <t xml:space="preserve">   Trailing 8Q Avg Beat</t>
        </is>
      </c>
      <c r="C38" s="29" t="n">
        <v>-0.0086</v>
      </c>
      <c r="D38" s="12" t="n"/>
      <c r="H38" s="13" t="n"/>
      <c r="I38" s="12" t="n"/>
      <c r="M38" s="13" t="n"/>
      <c r="N38" s="12" t="n"/>
      <c r="R38" s="13" t="n"/>
    </row>
    <row r="39">
      <c r="B39" s="2" t="inlineStr">
        <is>
          <t xml:space="preserve">   Selected Beat Cadence</t>
        </is>
      </c>
      <c r="C39" s="30" t="n">
        <v>-0.0086</v>
      </c>
      <c r="D39" s="12" t="n"/>
      <c r="H39" s="13" t="n"/>
      <c r="I39" s="12" t="n"/>
      <c r="M39" s="13" t="n"/>
      <c r="N39" s="12" t="n"/>
      <c r="R39" s="13"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2026-04-12T02:30:13Z</dcterms:created>
  <dcterms:modified xsi:type="dcterms:W3CDTF">2026-04-12T02:30:14Z</dcterms:modified>
</cp:coreProperties>
</file>