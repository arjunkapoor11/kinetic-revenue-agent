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_);(#,##0.0);&quot;-&quot;"/>
    <numFmt numFmtId="165" formatCode="0.0%_);(0.0%);&quot;-&quot;"/>
  </numFmts>
  <fonts count="8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i val="1"/>
      <sz val="9"/>
    </font>
    <font>
      <name val="Times New Roman"/>
      <sz val="9"/>
    </font>
    <font>
      <name val="Times New Roman"/>
      <color rgb="000000FF"/>
      <sz val="9"/>
    </font>
    <font>
      <name val="Times New Roman"/>
      <b val="1"/>
      <sz val="9"/>
    </font>
    <font>
      <name val="Times New Roman"/>
      <i val="1"/>
      <color rgb="000000FF"/>
      <sz val="9"/>
    </font>
    <font>
      <name val="Times New Roman"/>
      <i val="1"/>
      <color rgb="00006100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/>
      <top/>
      <bottom/>
    </border>
    <border>
      <left style="thin"/>
      <right style="thin"/>
      <top/>
      <bottom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0" fontId="4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2" applyAlignment="1" pivotButton="0" quotePrefix="0" xfId="0">
      <alignment horizontal="center"/>
    </xf>
    <xf numFmtId="0" fontId="0" fillId="0" borderId="1" pivotButton="0" quotePrefix="0" xfId="0"/>
    <xf numFmtId="0" fontId="0" fillId="0" borderId="2" pivotButton="0" quotePrefix="0" xfId="0"/>
    <xf numFmtId="0" fontId="5" fillId="0" borderId="0" pivotButton="0" quotePrefix="0" xfId="0"/>
    <xf numFmtId="164" fontId="5" fillId="0" borderId="1" applyAlignment="1" pivotButton="0" quotePrefix="0" xfId="0">
      <alignment horizontal="right"/>
    </xf>
    <xf numFmtId="164" fontId="5" fillId="0" borderId="0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165" fontId="2" fillId="0" borderId="2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164" fontId="6" fillId="0" borderId="0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165" fontId="7" fillId="0" borderId="0" applyAlignment="1" pivotButton="0" quotePrefix="0" xfId="0">
      <alignment horizontal="right"/>
    </xf>
    <xf numFmtId="165" fontId="2" fillId="0" borderId="0" pivotButton="0" quotePrefix="0" xfId="0"/>
    <xf numFmtId="165" fontId="6" fillId="0" borderId="0" pivotButton="0" quotePrefix="0" xfId="0"/>
  </cellXfs>
  <cellStyles count="1">
    <cellStyle name="Normal" xfId="0" builtinId="0" hidden="0"/>
  </cellStyles>
  <dxfs count="2">
    <dxf>
      <font>
        <name val="Times New Roman"/>
        <i val="1"/>
        <color rgb="00006100"/>
        <sz val="9"/>
      </font>
    </dxf>
    <dxf>
      <font>
        <name val="Times New Roman"/>
        <i val="1"/>
        <color rgb="009C0006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KIN Model</author>
  </authors>
  <commentList>
    <comment ref="K9" authorId="0" shapeId="0">
      <text>
        <t xml:space="preserve"># Snowflake (SNOW) Q3 FY2026 (Quarter Ended July 31, 2025) — Revenue Anomaly Analysis
## Quantitative Context
</t>
      </text>
    </comment>
    <comment ref="O9" authorId="0" shapeId="0">
      <text>
        <t>Q+1 Beat-Adjusted:
Consensus: $1,316.2M
x (1 + 3.52%)
= $1,362.6M implied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X39"/>
  <sheetViews>
    <sheetView showGridLines="0"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4" customWidth="1" min="3" max="3"/>
    <col width="10.5" customWidth="1" min="4" max="4"/>
    <col width="10.5" customWidth="1" min="5" max="5"/>
    <col width="10.5" customWidth="1" min="6" max="6"/>
    <col width="10.5" customWidth="1" min="7" max="7"/>
    <col width="11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1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1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1.5" customWidth="1" min="23" max="23"/>
    <col width="10.5" customWidth="1" min="24" max="24"/>
  </cols>
  <sheetData>
    <row r="1">
      <c r="B1" s="1" t="inlineStr">
        <is>
          <t>SNOW: KIN Base Case Operating Model</t>
        </is>
      </c>
    </row>
    <row r="2">
      <c r="B2" s="2" t="inlineStr">
        <is>
          <t>USD in Millions Unless Stated Otherwise</t>
        </is>
      </c>
    </row>
    <row r="3">
      <c r="B3" s="3" t="inlineStr">
        <is>
          <t>Beat Cadence (%)</t>
        </is>
      </c>
      <c r="C3" s="4" t="n">
        <v>0.0352</v>
      </c>
    </row>
    <row r="4">
      <c r="B4" s="3" t="inlineStr">
        <is>
          <t>Beat Window</t>
        </is>
      </c>
      <c r="C4" s="5" t="inlineStr">
        <is>
          <t>8Q</t>
        </is>
      </c>
    </row>
    <row r="5">
      <c r="B5" s="3" t="inlineStr">
        <is>
          <t>Momentum</t>
        </is>
      </c>
      <c r="C5" s="5" t="inlineStr">
        <is>
          <t>STABLE</t>
        </is>
      </c>
    </row>
    <row r="7">
      <c r="D7" s="6" t="inlineStr">
        <is>
          <t>Q1-24</t>
        </is>
      </c>
      <c r="E7" s="7" t="inlineStr">
        <is>
          <t>Q2-24</t>
        </is>
      </c>
      <c r="F7" s="7" t="inlineStr">
        <is>
          <t>Q3-24</t>
        </is>
      </c>
      <c r="G7" s="7" t="inlineStr">
        <is>
          <t>Q4-24</t>
        </is>
      </c>
      <c r="H7" s="8" t="inlineStr">
        <is>
          <t>FY24</t>
        </is>
      </c>
      <c r="I7" s="6" t="inlineStr">
        <is>
          <t>Q1-25</t>
        </is>
      </c>
      <c r="J7" s="7" t="inlineStr">
        <is>
          <t>Q2-25</t>
        </is>
      </c>
      <c r="K7" s="7" t="inlineStr">
        <is>
          <t>Q3-25</t>
        </is>
      </c>
      <c r="L7" s="7" t="inlineStr">
        <is>
          <t>Q4-25</t>
        </is>
      </c>
      <c r="M7" s="8" t="inlineStr">
        <is>
          <t>FY25</t>
        </is>
      </c>
      <c r="N7" s="6" t="inlineStr">
        <is>
          <t>Q1-26</t>
        </is>
      </c>
      <c r="O7" s="7" t="inlineStr">
        <is>
          <t>Q2-26E</t>
        </is>
      </c>
      <c r="P7" s="7" t="inlineStr">
        <is>
          <t>Q3-26E</t>
        </is>
      </c>
      <c r="Q7" s="7" t="inlineStr">
        <is>
          <t>Q4-26E</t>
        </is>
      </c>
      <c r="R7" s="8" t="inlineStr">
        <is>
          <t>FY26E</t>
        </is>
      </c>
      <c r="S7" s="6" t="inlineStr">
        <is>
          <t>Q1-27E</t>
        </is>
      </c>
      <c r="T7" s="7" t="inlineStr">
        <is>
          <t>Q2-27E</t>
        </is>
      </c>
      <c r="U7" s="7" t="inlineStr">
        <is>
          <t>Q3-27E</t>
        </is>
      </c>
      <c r="V7" s="7" t="inlineStr">
        <is>
          <t>Q4-27E</t>
        </is>
      </c>
      <c r="W7" s="8" t="inlineStr">
        <is>
          <t>FY27E</t>
        </is>
      </c>
      <c r="X7" s="6" t="inlineStr">
        <is>
          <t>Q1-28E</t>
        </is>
      </c>
    </row>
    <row r="8">
      <c r="D8" s="9" t="n"/>
      <c r="H8" s="10" t="n"/>
      <c r="I8" s="9" t="n"/>
      <c r="M8" s="10" t="n"/>
      <c r="N8" s="9" t="n"/>
      <c r="R8" s="10" t="n"/>
      <c r="S8" s="9" t="n"/>
      <c r="W8" s="10" t="n"/>
      <c r="X8" s="9" t="n"/>
    </row>
    <row r="9">
      <c r="B9" s="11" t="inlineStr">
        <is>
          <t>Total Revenue</t>
        </is>
      </c>
      <c r="D9" s="12" t="n">
        <v>774.699</v>
      </c>
      <c r="E9" s="13" t="n">
        <v>828.7089999999999</v>
      </c>
      <c r="F9" s="13" t="n">
        <v>868.823</v>
      </c>
      <c r="G9" s="13" t="n">
        <v>942.0940000000001</v>
      </c>
      <c r="H9" s="14">
        <f>SUM(D9:G9)</f>
        <v/>
      </c>
      <c r="I9" s="12" t="n">
        <v>986.77</v>
      </c>
      <c r="J9" s="13" t="n">
        <v>1042.074</v>
      </c>
      <c r="K9" s="13" t="n">
        <v>1144.969</v>
      </c>
      <c r="L9" s="13" t="n">
        <v>1212.909</v>
      </c>
      <c r="M9" s="14">
        <f>SUM(I9:L9)</f>
        <v/>
      </c>
      <c r="N9" s="12" t="n">
        <v>1283.994</v>
      </c>
      <c r="O9" s="13">
        <f>N9+O13</f>
        <v/>
      </c>
      <c r="P9" s="13">
        <f>O9+P13</f>
        <v/>
      </c>
      <c r="Q9" s="13">
        <f>P9+Q13</f>
        <v/>
      </c>
      <c r="R9" s="14">
        <f>SUM(N9:Q9)</f>
        <v/>
      </c>
      <c r="S9" s="12">
        <f>Q9+S13</f>
        <v/>
      </c>
      <c r="T9" s="13">
        <f>S9+T13</f>
        <v/>
      </c>
      <c r="U9" s="13">
        <f>T9+U13</f>
        <v/>
      </c>
      <c r="V9" s="13">
        <f>U9+V13</f>
        <v/>
      </c>
      <c r="W9" s="14">
        <f>SUM(S9:V9)</f>
        <v/>
      </c>
      <c r="X9" s="12">
        <f>V9+X13</f>
        <v/>
      </c>
    </row>
    <row r="10">
      <c r="B10" s="2" t="inlineStr">
        <is>
          <t xml:space="preserve">   % YoY</t>
        </is>
      </c>
      <c r="D10" s="9" t="n"/>
      <c r="H10" s="10" t="n"/>
      <c r="I10" s="15">
        <f>IFERROR((I9-D9)/D9,"-")</f>
        <v/>
      </c>
      <c r="J10" s="16">
        <f>IFERROR((J9-E9)/E9,"-")</f>
        <v/>
      </c>
      <c r="K10" s="16">
        <f>IFERROR((K9-F9)/F9,"-")</f>
        <v/>
      </c>
      <c r="L10" s="16">
        <f>IFERROR((L9-G9)/G9,"-")</f>
        <v/>
      </c>
      <c r="M10" s="17">
        <f>IFERROR((M9-H9)/H9,"-")</f>
        <v/>
      </c>
      <c r="N10" s="15">
        <f>IFERROR((N9-I9)/I9,"-")</f>
        <v/>
      </c>
      <c r="O10" s="16">
        <f>IFERROR((O9-J9)/J9,"-")</f>
        <v/>
      </c>
      <c r="P10" s="16">
        <f>IFERROR((P9-K9)/K9,"-")</f>
        <v/>
      </c>
      <c r="Q10" s="16">
        <f>IFERROR((Q9-L9)/L9,"-")</f>
        <v/>
      </c>
      <c r="R10" s="17">
        <f>IFERROR((R9-M9)/M9,"-")</f>
        <v/>
      </c>
      <c r="S10" s="15">
        <f>IFERROR((S9-N9)/N9,"-")</f>
        <v/>
      </c>
      <c r="T10" s="16">
        <f>IFERROR((T9-O9)/O9,"-")</f>
        <v/>
      </c>
      <c r="U10" s="16">
        <f>IFERROR((U9-P9)/P9,"-")</f>
        <v/>
      </c>
      <c r="V10" s="16">
        <f>IFERROR((V9-Q9)/Q9,"-")</f>
        <v/>
      </c>
      <c r="W10" s="17">
        <f>IFERROR((W9-R9)/R9,"-")</f>
        <v/>
      </c>
      <c r="X10" s="15">
        <f>IFERROR((X9-S9)/S9,"-")</f>
        <v/>
      </c>
    </row>
    <row r="11">
      <c r="B11" s="2" t="inlineStr">
        <is>
          <t xml:space="preserve">   % QoQ</t>
        </is>
      </c>
      <c r="D11" s="9" t="n"/>
      <c r="E11" s="16">
        <f>IFERROR((E9-D9)/D9,"-")</f>
        <v/>
      </c>
      <c r="F11" s="16">
        <f>IFERROR((F9-E9)/E9,"-")</f>
        <v/>
      </c>
      <c r="G11" s="16">
        <f>IFERROR((G9-F9)/F9,"-")</f>
        <v/>
      </c>
      <c r="H11" s="10" t="n"/>
      <c r="I11" s="15">
        <f>IFERROR((I9-G9)/G9,"-")</f>
        <v/>
      </c>
      <c r="J11" s="16">
        <f>IFERROR((J9-I9)/I9,"-")</f>
        <v/>
      </c>
      <c r="K11" s="16">
        <f>IFERROR((K9-J9)/J9,"-")</f>
        <v/>
      </c>
      <c r="L11" s="16">
        <f>IFERROR((L9-K9)/K9,"-")</f>
        <v/>
      </c>
      <c r="M11" s="10" t="n"/>
      <c r="N11" s="15">
        <f>IFERROR((N9-L9)/L9,"-")</f>
        <v/>
      </c>
      <c r="O11" s="16">
        <f>IFERROR((O9-N9)/N9,"-")</f>
        <v/>
      </c>
      <c r="P11" s="16">
        <f>IFERROR((P9-O9)/O9,"-")</f>
        <v/>
      </c>
      <c r="Q11" s="16">
        <f>IFERROR((Q9-P9)/P9,"-")</f>
        <v/>
      </c>
      <c r="R11" s="10" t="n"/>
      <c r="S11" s="15">
        <f>IFERROR((S9-Q9)/Q9,"-")</f>
        <v/>
      </c>
      <c r="T11" s="16">
        <f>IFERROR((T9-S9)/S9,"-")</f>
        <v/>
      </c>
      <c r="U11" s="16">
        <f>IFERROR((U9-T9)/T9,"-")</f>
        <v/>
      </c>
      <c r="V11" s="16">
        <f>IFERROR((V9-U9)/U9,"-")</f>
        <v/>
      </c>
      <c r="W11" s="10" t="n"/>
      <c r="X11" s="15">
        <f>IFERROR((X9-V9)/V9,"-")</f>
        <v/>
      </c>
    </row>
    <row r="12">
      <c r="B12" s="2" t="inlineStr">
        <is>
          <t xml:space="preserve">   $ YoY</t>
        </is>
      </c>
      <c r="D12" s="9" t="n"/>
      <c r="H12" s="10" t="n"/>
      <c r="I12" s="18">
        <f>I9-D9</f>
        <v/>
      </c>
      <c r="J12" s="19">
        <f>J9-E9</f>
        <v/>
      </c>
      <c r="K12" s="19">
        <f>K9-F9</f>
        <v/>
      </c>
      <c r="L12" s="19">
        <f>L9-G9</f>
        <v/>
      </c>
      <c r="M12" s="20">
        <f>M9-H9</f>
        <v/>
      </c>
      <c r="N12" s="18">
        <f>N9-I9</f>
        <v/>
      </c>
      <c r="O12" s="19">
        <f>O9-J9</f>
        <v/>
      </c>
      <c r="P12" s="19">
        <f>P9-K9</f>
        <v/>
      </c>
      <c r="Q12" s="19">
        <f>Q9-L9</f>
        <v/>
      </c>
      <c r="R12" s="20">
        <f>R9-M9</f>
        <v/>
      </c>
      <c r="S12" s="18">
        <f>S9-N9</f>
        <v/>
      </c>
      <c r="T12" s="19">
        <f>T9-O9</f>
        <v/>
      </c>
      <c r="U12" s="19">
        <f>U9-P9</f>
        <v/>
      </c>
      <c r="V12" s="19">
        <f>V9-Q9</f>
        <v/>
      </c>
      <c r="W12" s="20">
        <f>W9-R9</f>
        <v/>
      </c>
      <c r="X12" s="18">
        <f>X9-S9</f>
        <v/>
      </c>
    </row>
    <row r="13">
      <c r="B13" s="2" t="inlineStr">
        <is>
          <t xml:space="preserve">   $ QoQ</t>
        </is>
      </c>
      <c r="D13" s="9" t="n"/>
      <c r="E13" s="19">
        <f>E9-D9</f>
        <v/>
      </c>
      <c r="F13" s="19">
        <f>F9-E9</f>
        <v/>
      </c>
      <c r="G13" s="19">
        <f>G9-F9</f>
        <v/>
      </c>
      <c r="H13" s="10" t="n"/>
      <c r="I13" s="18">
        <f>I9-G9</f>
        <v/>
      </c>
      <c r="J13" s="19">
        <f>J9-I9</f>
        <v/>
      </c>
      <c r="K13" s="19">
        <f>K9-J9</f>
        <v/>
      </c>
      <c r="L13" s="19">
        <f>L9-K9</f>
        <v/>
      </c>
      <c r="M13" s="10" t="n"/>
      <c r="N13" s="18">
        <f>N9-L9</f>
        <v/>
      </c>
      <c r="O13" s="21" t="n">
        <v>78.56922299999999</v>
      </c>
      <c r="P13" s="21" t="n">
        <v>57.632653</v>
      </c>
      <c r="Q13" s="21" t="n">
        <v>73.878316</v>
      </c>
      <c r="R13" s="10" t="n"/>
      <c r="S13" s="22" t="n">
        <v>75.776472</v>
      </c>
      <c r="T13" s="21" t="n">
        <v>80.056524</v>
      </c>
      <c r="U13" s="21" t="n">
        <v>76.922439</v>
      </c>
      <c r="V13" s="21" t="n">
        <v>82.482094</v>
      </c>
      <c r="W13" s="10" t="n"/>
      <c r="X13" s="22" t="n">
        <v>86.47258600000001</v>
      </c>
    </row>
    <row r="14">
      <c r="D14" s="9" t="n"/>
      <c r="H14" s="10" t="n"/>
      <c r="I14" s="9" t="n"/>
      <c r="M14" s="10" t="n"/>
      <c r="N14" s="9" t="n"/>
      <c r="R14" s="10" t="n"/>
      <c r="S14" s="9" t="n"/>
      <c r="W14" s="10" t="n"/>
      <c r="X14" s="9" t="n"/>
    </row>
    <row r="15">
      <c r="B15" s="11" t="inlineStr">
        <is>
          <t>Consensus Total Revenue</t>
        </is>
      </c>
      <c r="D15" s="9" t="n"/>
      <c r="H15" s="10" t="n"/>
      <c r="I15" s="9" t="n"/>
      <c r="M15" s="10" t="n"/>
      <c r="N15" s="9" t="n"/>
      <c r="O15" s="13" t="n">
        <v>1316.231861</v>
      </c>
      <c r="P15" s="13" t="n">
        <v>1446.197369</v>
      </c>
      <c r="Q15" s="13" t="n">
        <v>1531.387993</v>
      </c>
      <c r="R15" s="10" t="n"/>
      <c r="S15" s="12" t="n">
        <v>1620.305067</v>
      </c>
      <c r="T15" s="13" t="n">
        <v>1654.796208</v>
      </c>
      <c r="U15" s="13" t="n">
        <v>1777.673986</v>
      </c>
      <c r="V15" s="13" t="n">
        <v>1886.297441</v>
      </c>
      <c r="W15" s="14">
        <f>SUM(S15:V15)</f>
        <v/>
      </c>
      <c r="X15" s="12" t="n">
        <v>1982.060516</v>
      </c>
    </row>
    <row r="16">
      <c r="B16" s="2" t="inlineStr">
        <is>
          <t xml:space="preserve">   % YoY</t>
        </is>
      </c>
      <c r="D16" s="9" t="n"/>
      <c r="H16" s="10" t="n"/>
      <c r="I16" s="9" t="n"/>
      <c r="M16" s="10" t="n"/>
      <c r="N16" s="9" t="n"/>
      <c r="R16" s="10" t="n"/>
      <c r="S16" s="9" t="n"/>
      <c r="T16" s="16">
        <f>IFERROR((T15-O15)/O15,"-")</f>
        <v/>
      </c>
      <c r="U16" s="16">
        <f>IFERROR((U15-P15)/P15,"-")</f>
        <v/>
      </c>
      <c r="V16" s="16">
        <f>IFERROR((V15-Q15)/Q15,"-")</f>
        <v/>
      </c>
      <c r="W16" s="10" t="n"/>
      <c r="X16" s="15">
        <f>IFERROR((X15-S15)/S15,"-")</f>
        <v/>
      </c>
    </row>
    <row r="17">
      <c r="B17" s="2" t="inlineStr">
        <is>
          <t xml:space="preserve">   % QoQ</t>
        </is>
      </c>
      <c r="D17" s="9" t="n"/>
      <c r="H17" s="10" t="n"/>
      <c r="I17" s="9" t="n"/>
      <c r="M17" s="10" t="n"/>
      <c r="N17" s="9" t="n"/>
      <c r="P17" s="16">
        <f>IFERROR((P15-O15)/O15,"-")</f>
        <v/>
      </c>
      <c r="Q17" s="16">
        <f>IFERROR((Q15-P15)/P15,"-")</f>
        <v/>
      </c>
      <c r="R17" s="10" t="n"/>
      <c r="S17" s="15">
        <f>IFERROR((S15-Q15)/Q15,"-")</f>
        <v/>
      </c>
      <c r="T17" s="16">
        <f>IFERROR((T15-S15)/S15,"-")</f>
        <v/>
      </c>
      <c r="U17" s="16">
        <f>IFERROR((U15-T15)/T15,"-")</f>
        <v/>
      </c>
      <c r="V17" s="16">
        <f>IFERROR((V15-U15)/U15,"-")</f>
        <v/>
      </c>
      <c r="W17" s="10" t="n"/>
      <c r="X17" s="15">
        <f>IFERROR((X15-V15)/V15,"-")</f>
        <v/>
      </c>
    </row>
    <row r="18">
      <c r="B18" s="2" t="inlineStr">
        <is>
          <t xml:space="preserve">   $ YoY</t>
        </is>
      </c>
      <c r="D18" s="9" t="n"/>
      <c r="H18" s="10" t="n"/>
      <c r="I18" s="9" t="n"/>
      <c r="M18" s="10" t="n"/>
      <c r="N18" s="9" t="n"/>
      <c r="R18" s="10" t="n"/>
      <c r="S18" s="9" t="n"/>
      <c r="T18" s="19">
        <f>T15-O15</f>
        <v/>
      </c>
      <c r="U18" s="19">
        <f>U15-P15</f>
        <v/>
      </c>
      <c r="V18" s="19">
        <f>V15-Q15</f>
        <v/>
      </c>
      <c r="W18" s="10" t="n"/>
      <c r="X18" s="18">
        <f>X15-S15</f>
        <v/>
      </c>
    </row>
    <row r="19">
      <c r="B19" s="2" t="inlineStr">
        <is>
          <t xml:space="preserve">   $ QoQ</t>
        </is>
      </c>
      <c r="D19" s="9" t="n"/>
      <c r="H19" s="10" t="n"/>
      <c r="I19" s="9" t="n"/>
      <c r="M19" s="10" t="n"/>
      <c r="N19" s="9" t="n"/>
      <c r="P19" s="19">
        <f>P15-O15</f>
        <v/>
      </c>
      <c r="Q19" s="19">
        <f>Q15-P15</f>
        <v/>
      </c>
      <c r="R19" s="10" t="n"/>
      <c r="S19" s="18">
        <f>S15-Q15</f>
        <v/>
      </c>
      <c r="T19" s="19">
        <f>T15-S15</f>
        <v/>
      </c>
      <c r="U19" s="19">
        <f>U15-T15</f>
        <v/>
      </c>
      <c r="V19" s="19">
        <f>V15-U15</f>
        <v/>
      </c>
      <c r="W19" s="10" t="n"/>
      <c r="X19" s="18">
        <f>X15-V15</f>
        <v/>
      </c>
    </row>
    <row r="20">
      <c r="D20" s="9" t="n"/>
      <c r="H20" s="10" t="n"/>
      <c r="I20" s="9" t="n"/>
      <c r="M20" s="10" t="n"/>
      <c r="N20" s="9" t="n"/>
      <c r="R20" s="10" t="n"/>
      <c r="S20" s="9" t="n"/>
      <c r="W20" s="10" t="n"/>
      <c r="X20" s="9" t="n"/>
    </row>
    <row r="21">
      <c r="B21" s="2" t="inlineStr">
        <is>
          <t xml:space="preserve">   % Variance vs Consensus</t>
        </is>
      </c>
      <c r="D21" s="9" t="n"/>
      <c r="H21" s="10" t="n"/>
      <c r="I21" s="9" t="n"/>
      <c r="M21" s="10" t="n"/>
      <c r="N21" s="9" t="n"/>
      <c r="O21" s="16">
        <f>IFERROR((O9-O15)/O15,"-")</f>
        <v/>
      </c>
      <c r="P21" s="16">
        <f>IFERROR((P9-P15)/P15,"-")</f>
        <v/>
      </c>
      <c r="Q21" s="16">
        <f>IFERROR((Q9-Q15)/Q15,"-")</f>
        <v/>
      </c>
      <c r="R21" s="17">
        <f>IFERROR((R9-R15)/R15,"-")</f>
        <v/>
      </c>
      <c r="S21" s="15">
        <f>IFERROR((S9-S15)/S15,"-")</f>
        <v/>
      </c>
      <c r="T21" s="16">
        <f>IFERROR((T9-T15)/T15,"-")</f>
        <v/>
      </c>
      <c r="U21" s="16">
        <f>IFERROR((U9-U15)/U15,"-")</f>
        <v/>
      </c>
      <c r="V21" s="16">
        <f>IFERROR((V9-V15)/V15,"-")</f>
        <v/>
      </c>
      <c r="W21" s="17">
        <f>IFERROR((W9-W15)/W15,"-")</f>
        <v/>
      </c>
      <c r="X21" s="15">
        <f>IFERROR((X9-X15)/X15,"-")</f>
        <v/>
      </c>
    </row>
    <row r="22">
      <c r="D22" s="9" t="n"/>
      <c r="H22" s="10" t="n"/>
      <c r="I22" s="9" t="n"/>
      <c r="M22" s="10" t="n"/>
      <c r="N22" s="9" t="n"/>
      <c r="R22" s="10" t="n"/>
      <c r="S22" s="9" t="n"/>
      <c r="W22" s="10" t="n"/>
      <c r="X22" s="9" t="n"/>
    </row>
    <row r="23">
      <c r="B23" s="11" t="inlineStr">
        <is>
          <t>Implied Q+2 Guide</t>
        </is>
      </c>
      <c r="D23" s="9" t="n"/>
      <c r="H23" s="10" t="n"/>
      <c r="I23" s="9" t="n"/>
      <c r="M23" s="10" t="n"/>
      <c r="N23" s="9" t="n"/>
      <c r="P23" s="13">
        <f>P9/(1+$C$3)</f>
        <v/>
      </c>
      <c r="R23" s="10" t="n"/>
      <c r="S23" s="9" t="n"/>
      <c r="W23" s="10" t="n"/>
      <c r="X23" s="9" t="n"/>
    </row>
    <row r="24">
      <c r="B24" s="2" t="inlineStr">
        <is>
          <t xml:space="preserve">   % YoY</t>
        </is>
      </c>
      <c r="D24" s="9" t="n"/>
      <c r="H24" s="10" t="n"/>
      <c r="I24" s="9" t="n"/>
      <c r="M24" s="10" t="n"/>
      <c r="N24" s="9" t="n"/>
      <c r="P24" s="16">
        <f>IFERROR((P23-K9)/K9,"-")</f>
        <v/>
      </c>
      <c r="R24" s="10" t="n"/>
      <c r="S24" s="9" t="n"/>
      <c r="W24" s="10" t="n"/>
      <c r="X24" s="9" t="n"/>
    </row>
    <row r="25">
      <c r="B25" s="2" t="inlineStr">
        <is>
          <t xml:space="preserve">   % QoQ</t>
        </is>
      </c>
      <c r="D25" s="9" t="n"/>
      <c r="H25" s="10" t="n"/>
      <c r="I25" s="9" t="n"/>
      <c r="M25" s="10" t="n"/>
      <c r="N25" s="9" t="n"/>
      <c r="P25" s="16">
        <f>IFERROR((P23-O9)/O9,"-")</f>
        <v/>
      </c>
      <c r="R25" s="10" t="n"/>
      <c r="S25" s="9" t="n"/>
      <c r="W25" s="10" t="n"/>
      <c r="X25" s="9" t="n"/>
    </row>
    <row r="26">
      <c r="B26" s="2" t="inlineStr">
        <is>
          <t xml:space="preserve">   $ YoY</t>
        </is>
      </c>
      <c r="D26" s="9" t="n"/>
      <c r="H26" s="10" t="n"/>
      <c r="I26" s="9" t="n"/>
      <c r="M26" s="10" t="n"/>
      <c r="N26" s="9" t="n"/>
      <c r="P26" s="19">
        <f>P23-K9</f>
        <v/>
      </c>
      <c r="R26" s="10" t="n"/>
      <c r="S26" s="9" t="n"/>
      <c r="W26" s="10" t="n"/>
      <c r="X26" s="9" t="n"/>
    </row>
    <row r="27">
      <c r="B27" s="2" t="inlineStr">
        <is>
          <t xml:space="preserve">   $ QoQ</t>
        </is>
      </c>
      <c r="D27" s="9" t="n"/>
      <c r="H27" s="10" t="n"/>
      <c r="I27" s="9" t="n"/>
      <c r="M27" s="10" t="n"/>
      <c r="N27" s="9" t="n"/>
      <c r="P27" s="19">
        <f>P23-O9</f>
        <v/>
      </c>
      <c r="R27" s="10" t="n"/>
      <c r="S27" s="9" t="n"/>
      <c r="W27" s="10" t="n"/>
      <c r="X27" s="9" t="n"/>
    </row>
    <row r="28">
      <c r="D28" s="9" t="n"/>
      <c r="H28" s="10" t="n"/>
      <c r="I28" s="9" t="n"/>
      <c r="M28" s="10" t="n"/>
      <c r="N28" s="9" t="n"/>
      <c r="R28" s="10" t="n"/>
      <c r="S28" s="9" t="n"/>
      <c r="W28" s="10" t="n"/>
      <c r="X28" s="9" t="n"/>
    </row>
    <row r="29">
      <c r="B29" s="2" t="inlineStr">
        <is>
          <t xml:space="preserve">   % Variance Guide vs Consensus</t>
        </is>
      </c>
      <c r="D29" s="9" t="n"/>
      <c r="H29" s="10" t="n"/>
      <c r="I29" s="9" t="n"/>
      <c r="M29" s="10" t="n"/>
      <c r="N29" s="9" t="n"/>
      <c r="P29" s="16">
        <f>IFERROR((P23-P15)/P15,"-")</f>
        <v/>
      </c>
      <c r="R29" s="10" t="n"/>
      <c r="S29" s="9" t="n"/>
      <c r="W29" s="10" t="n"/>
      <c r="X29" s="9" t="n"/>
    </row>
    <row r="30">
      <c r="D30" s="9" t="n"/>
      <c r="H30" s="10" t="n"/>
      <c r="I30" s="9" t="n"/>
      <c r="M30" s="10" t="n"/>
      <c r="N30" s="9" t="n"/>
      <c r="R30" s="10" t="n"/>
      <c r="S30" s="9" t="n"/>
      <c r="W30" s="10" t="n"/>
      <c r="X30" s="9" t="n"/>
    </row>
    <row r="31">
      <c r="B31" s="11" t="inlineStr">
        <is>
          <t>Actuals vs Consensus</t>
        </is>
      </c>
      <c r="D31" s="9" t="n"/>
      <c r="H31" s="10" t="n"/>
      <c r="I31" s="9" t="n"/>
      <c r="M31" s="10" t="n"/>
      <c r="N31" s="9" t="n"/>
      <c r="R31" s="10" t="n"/>
      <c r="S31" s="9" t="n"/>
      <c r="W31" s="10" t="n"/>
      <c r="X31" s="9" t="n"/>
    </row>
    <row r="32">
      <c r="B32" s="11" t="inlineStr">
        <is>
          <t>Actual Revenue</t>
        </is>
      </c>
      <c r="D32" s="12" t="n">
        <v>774.699</v>
      </c>
      <c r="E32" s="13" t="n">
        <v>828.7089999999999</v>
      </c>
      <c r="F32" s="13" t="n">
        <v>868.823</v>
      </c>
      <c r="G32" s="13" t="n">
        <v>942.0940000000001</v>
      </c>
      <c r="H32" s="14">
        <f>SUM(D32:G32)</f>
        <v/>
      </c>
      <c r="I32" s="12" t="n">
        <v>986.77</v>
      </c>
      <c r="J32" s="13" t="n">
        <v>1042.074</v>
      </c>
      <c r="K32" s="13" t="n">
        <v>1144.969</v>
      </c>
      <c r="L32" s="13" t="n">
        <v>1212.909</v>
      </c>
      <c r="M32" s="14">
        <f>SUM(I32:L32)</f>
        <v/>
      </c>
      <c r="N32" s="12" t="n">
        <v>1283.994</v>
      </c>
      <c r="R32" s="10" t="n"/>
      <c r="S32" s="9" t="n"/>
      <c r="W32" s="10" t="n"/>
      <c r="X32" s="9" t="n"/>
    </row>
    <row r="33">
      <c r="B33" s="11" t="inlineStr">
        <is>
          <t>Consensus Revenue</t>
        </is>
      </c>
      <c r="D33" s="12" t="n">
        <v>760.4318050000001</v>
      </c>
      <c r="E33" s="13" t="n">
        <v>788.1030019999999</v>
      </c>
      <c r="F33" s="13" t="n">
        <v>853.111781</v>
      </c>
      <c r="G33" s="13" t="n">
        <v>899.3069850000001</v>
      </c>
      <c r="H33" s="14">
        <f>SUM(D33:G33)</f>
        <v/>
      </c>
      <c r="I33" s="12" t="n">
        <v>957.789207</v>
      </c>
      <c r="J33" s="13" t="n">
        <v>1006.299443</v>
      </c>
      <c r="K33" s="13" t="n">
        <v>1088.074125</v>
      </c>
      <c r="L33" s="13" t="n">
        <v>1184.340631</v>
      </c>
      <c r="M33" s="14">
        <f>SUM(I33:L33)</f>
        <v/>
      </c>
      <c r="N33" s="12" t="n">
        <v>1256.722</v>
      </c>
      <c r="R33" s="10" t="n"/>
      <c r="S33" s="9" t="n"/>
      <c r="W33" s="10" t="n"/>
      <c r="X33" s="9" t="n"/>
    </row>
    <row r="34">
      <c r="B34" s="2" t="inlineStr">
        <is>
          <t xml:space="preserve">   Beat / Miss ($)</t>
        </is>
      </c>
      <c r="D34" s="18">
        <f>D32-D33</f>
        <v/>
      </c>
      <c r="E34" s="19">
        <f>E32-E33</f>
        <v/>
      </c>
      <c r="F34" s="19">
        <f>F32-F33</f>
        <v/>
      </c>
      <c r="G34" s="19">
        <f>G32-G33</f>
        <v/>
      </c>
      <c r="H34" s="20">
        <f>H32-H33</f>
        <v/>
      </c>
      <c r="I34" s="18">
        <f>I32-I33</f>
        <v/>
      </c>
      <c r="J34" s="19">
        <f>J32-J33</f>
        <v/>
      </c>
      <c r="K34" s="19">
        <f>K32-K33</f>
        <v/>
      </c>
      <c r="L34" s="19">
        <f>L32-L33</f>
        <v/>
      </c>
      <c r="M34" s="20">
        <f>M32-M33</f>
        <v/>
      </c>
      <c r="N34" s="18">
        <f>N32-N33</f>
        <v/>
      </c>
      <c r="R34" s="10" t="n"/>
      <c r="S34" s="9" t="n"/>
      <c r="W34" s="10" t="n"/>
      <c r="X34" s="9" t="n"/>
    </row>
    <row r="35">
      <c r="B35" s="2" t="inlineStr">
        <is>
          <t xml:space="preserve">   Beat / Miss (%)</t>
        </is>
      </c>
      <c r="D35" s="23">
        <f>IFERROR((D32-D33)/D33,"-")</f>
        <v/>
      </c>
      <c r="E35" s="24">
        <f>IFERROR((E32-E33)/E33,"-")</f>
        <v/>
      </c>
      <c r="F35" s="24">
        <f>IFERROR((F32-F33)/F33,"-")</f>
        <v/>
      </c>
      <c r="G35" s="24">
        <f>IFERROR((G32-G33)/G33,"-")</f>
        <v/>
      </c>
      <c r="H35" s="17">
        <f>IFERROR((H32-H33)/H33,"-")</f>
        <v/>
      </c>
      <c r="I35" s="23">
        <f>IFERROR((I32-I33)/I33,"-")</f>
        <v/>
      </c>
      <c r="J35" s="24">
        <f>IFERROR((J32-J33)/J33,"-")</f>
        <v/>
      </c>
      <c r="K35" s="24">
        <f>IFERROR((K32-K33)/K33,"-")</f>
        <v/>
      </c>
      <c r="L35" s="24">
        <f>IFERROR((L32-L33)/L33,"-")</f>
        <v/>
      </c>
      <c r="M35" s="17">
        <f>IFERROR((M32-M33)/M33,"-")</f>
        <v/>
      </c>
      <c r="N35" s="23">
        <f>IFERROR((N32-N33)/N33,"-")</f>
        <v/>
      </c>
      <c r="R35" s="10" t="n"/>
      <c r="S35" s="9" t="n"/>
      <c r="W35" s="10" t="n"/>
      <c r="X35" s="9" t="n"/>
    </row>
    <row r="36">
      <c r="D36" s="9" t="n"/>
      <c r="H36" s="10" t="n"/>
      <c r="I36" s="9" t="n"/>
      <c r="M36" s="10" t="n"/>
      <c r="N36" s="9" t="n"/>
      <c r="R36" s="10" t="n"/>
      <c r="S36" s="9" t="n"/>
      <c r="W36" s="10" t="n"/>
      <c r="X36" s="9" t="n"/>
    </row>
    <row r="37">
      <c r="B37" s="2" t="inlineStr">
        <is>
          <t xml:space="preserve">   Trailing 4Q Avg Beat</t>
        </is>
      </c>
      <c r="C37" s="25">
        <f>AVERAGE(J35,K35,L35,N35)</f>
        <v/>
      </c>
      <c r="D37" s="9" t="n"/>
      <c r="H37" s="10" t="n"/>
      <c r="I37" s="9" t="n"/>
      <c r="M37" s="10" t="n"/>
      <c r="N37" s="9" t="n"/>
      <c r="R37" s="10" t="n"/>
      <c r="S37" s="9" t="n"/>
      <c r="W37" s="10" t="n"/>
      <c r="X37" s="9" t="n"/>
    </row>
    <row r="38">
      <c r="B38" s="2" t="inlineStr">
        <is>
          <t xml:space="preserve">   Trailing 8Q Avg Beat</t>
        </is>
      </c>
      <c r="C38" s="25">
        <f>AVERAGE(E35,F35,G35,I35,J35,K35,L35,N35)</f>
        <v/>
      </c>
      <c r="D38" s="9" t="n"/>
      <c r="H38" s="10" t="n"/>
      <c r="I38" s="9" t="n"/>
      <c r="M38" s="10" t="n"/>
      <c r="N38" s="9" t="n"/>
      <c r="R38" s="10" t="n"/>
      <c r="S38" s="9" t="n"/>
      <c r="W38" s="10" t="n"/>
      <c r="X38" s="9" t="n"/>
    </row>
    <row r="39">
      <c r="B39" s="2" t="inlineStr">
        <is>
          <t xml:space="preserve">   Selected Beat Cadence</t>
        </is>
      </c>
      <c r="C39" s="26" t="n">
        <v>0.0352</v>
      </c>
      <c r="D39" s="9" t="n"/>
      <c r="H39" s="10" t="n"/>
      <c r="I39" s="9" t="n"/>
      <c r="M39" s="10" t="n"/>
      <c r="N39" s="9" t="n"/>
      <c r="R39" s="10" t="n"/>
      <c r="S39" s="9" t="n"/>
      <c r="W39" s="10" t="n"/>
      <c r="X39" s="9" t="n"/>
    </row>
  </sheetData>
  <conditionalFormatting sqref="D21:X21">
    <cfRule type="expression" priority="1" dxfId="0">
      <formula>D21&gt;0</formula>
    </cfRule>
    <cfRule type="expression" priority="2" dxfId="1">
      <formula>D21&lt;0</formula>
    </cfRule>
  </conditionalFormatting>
  <conditionalFormatting sqref="D29:X29">
    <cfRule type="expression" priority="3" dxfId="0">
      <formula>D29&gt;0</formula>
    </cfRule>
    <cfRule type="expression" priority="4" dxfId="1">
      <formula>D29&lt;0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2026-04-12T16:06:04Z</dcterms:created>
  <dcterms:modified xsi:type="dcterms:W3CDTF">2026-04-12T16:06:04Z</dcterms:modified>
</cp:coreProperties>
</file>